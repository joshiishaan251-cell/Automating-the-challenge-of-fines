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4030" windowHeight="9990"/>
  </bookViews>
  <sheets>
    <sheet name="Otchet_Acts" sheetId="1" r:id="rId1"/>
  </sheets>
  <calcPr calcId="125725"/>
</workbook>
</file>

<file path=xl/calcChain.xml><?xml version="1.0" encoding="utf-8"?>
<calcChain xmlns="http://schemas.openxmlformats.org/spreadsheetml/2006/main">
  <c r="B1249" i="1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2"/>
  <c r="B4"/>
  <c r="B6"/>
  <c r="B8"/>
  <c r="B9"/>
  <c r="B10"/>
  <c r="B12"/>
  <c r="B15"/>
  <c r="B16"/>
  <c r="B17"/>
  <c r="B18"/>
  <c r="B19"/>
  <c r="B20"/>
  <c r="B21"/>
  <c r="B22"/>
  <c r="B23"/>
  <c r="B24"/>
  <c r="B25"/>
  <c r="B26"/>
  <c r="B27"/>
  <c r="B28"/>
  <c r="B29"/>
</calcChain>
</file>

<file path=xl/comments1.xml><?xml version="1.0" encoding="utf-8"?>
<comments xmlns="http://schemas.openxmlformats.org/spreadsheetml/2006/main">
  <authors>
    <author>Logik</author>
  </authors>
  <commentList>
    <comment ref="D16" authorId="0">
      <text>
        <r>
          <rPr>
            <b/>
            <sz val="9"/>
            <color indexed="81"/>
            <rFont val="Tahoma"/>
            <charset val="1"/>
          </rPr>
          <t>Logik:</t>
        </r>
        <r>
          <rPr>
            <sz val="9"/>
            <color indexed="81"/>
            <rFont val="Tahoma"/>
            <charset val="1"/>
          </rPr>
          <t xml:space="preserve">
На контроле</t>
        </r>
      </text>
    </comment>
  </commentList>
</comments>
</file>

<file path=xl/sharedStrings.xml><?xml version="1.0" encoding="utf-8"?>
<sst xmlns="http://schemas.openxmlformats.org/spreadsheetml/2006/main" count="5020" uniqueCount="1652">
  <si>
    <t>Исходный файл</t>
  </si>
  <si>
    <t>Найденный ключ</t>
  </si>
  <si>
    <t>Статус</t>
  </si>
  <si>
    <t>Новое имя</t>
  </si>
  <si>
    <t>Финальная папка</t>
  </si>
  <si>
    <t>01_0502202620260205101018.pdf</t>
  </si>
  <si>
    <t>Да (RESOLUTION (UIN))</t>
  </si>
  <si>
    <t>! Взыскано A40-292245-2025_20251219_печать.pdf</t>
  </si>
  <si>
    <t>C:\Users\Logik\Documents\ИП Коротаев ОА\Архив Штрафы ИП КОА\А16 А40-292245-2025 Вихарев А. В акт +19.03.26</t>
  </si>
  <si>
    <t>01_Scan20260205113253.pdf</t>
  </si>
  <si>
    <t>Cases: ['314238-2025'] UINs: ['10673342243495049903', '10673342243495047560', '10673342243491194100'</t>
  </si>
  <si>
    <t>Не найдено в архиве</t>
  </si>
  <si>
    <t>---</t>
  </si>
  <si>
    <t>02_0502202620260205101018.pdf</t>
  </si>
  <si>
    <t>! Взыскано A40-292254-2025_20251219_печать.pdf</t>
  </si>
  <si>
    <t>C:\Users\Logik\Documents\ИП Коротаев ОА\Архив Штрафы ИП КОА\А17 А40-292254-2025 Вихарев А. В акт +19.03.26</t>
  </si>
  <si>
    <t>02_Scan20260205113253.pdf</t>
  </si>
  <si>
    <t>Cases: ['313965-2025'] UINs: ['10673342243477596833', '10673342243477490792', '10673342243482277996'</t>
  </si>
  <si>
    <t>03_0502202620260205101018.pdf</t>
  </si>
  <si>
    <t>! Взыскано A40-292299-2025_20251219_печать.pdf</t>
  </si>
  <si>
    <t>C:\Users\Logik\Documents\ИП Коротаев ОА\Архив Штрафы ИП КОА\А19 А40-292299-2025 Вихарев А. В акт +19.03.26</t>
  </si>
  <si>
    <t>03_Scan20260205113253.pdf</t>
  </si>
  <si>
    <t>Cases: ['292392-2025'] UINs: ['10673342243461910126', '1067334224346191012612', '1067334224346205224</t>
  </si>
  <si>
    <t>04_Scan20260205113253.pdf</t>
  </si>
  <si>
    <t>! Взыскано A40-226774-2025_20251114_печать.pdf</t>
  </si>
  <si>
    <t>C:\Users\Logik\Documents\ИП Коротаев ОА\Архив Штрафы ИП КОА\1 ИЛ\340 Т8 А40-226774-2025 Ласкина С. О -- акт\3 Заявление в МТУ А40-226774-2025</t>
  </si>
  <si>
    <t>050226-2.pdf</t>
  </si>
  <si>
    <t>! Взыскано A40-292341-2025_20251223_печать.pdf</t>
  </si>
  <si>
    <t>C:\Users\Logik\Documents\ИП Коротаев ОА\Архив Штрафы ИП КОА\А22 А40-292341-2025 Немова О. Ю акт +29.03.26</t>
  </si>
  <si>
    <t>05_Scan20260205113253.pdf</t>
  </si>
  <si>
    <t>! Взыскано A40-281951-2025_20251225_печать.pdf</t>
  </si>
  <si>
    <t>C:\Users\Logik\Documents\ИП Коротаев ОА\Архив Штрафы ИП КОА\1 ИЛ\360 Ф5 А40-281951-2025 Ласкина С. О акт есть +25.03.26\3 Заявление в МТУ А40-281951-2025</t>
  </si>
  <si>
    <t>06_Scan20260205113253.pdf</t>
  </si>
  <si>
    <t>Cases: ['292216-2025'] UINs: ['10673342243452278420', '10673342243451042857', '10673342243451117584'</t>
  </si>
  <si>
    <t>07_Scan20260205113253.pdf</t>
  </si>
  <si>
    <t>! Взыскано A40-284661-2025_20251225_печать.pdf</t>
  </si>
  <si>
    <t>C:\Users\Logik\Documents\ИП Коротаев ОА\Архив Штрафы ИП КОА\А3 А40-284661-2025 Ласкина С. О акт +25.03.26</t>
  </si>
  <si>
    <t>08_Scan20260205113253.pdf</t>
  </si>
  <si>
    <t>Cases: ['313865-2025'] UINs: ['10673342243486478740', '10673342243486802645', '10673342243486617406'</t>
  </si>
  <si>
    <t>09_Scan20260205113253.pdf</t>
  </si>
  <si>
    <t>Cases: ['314501-2025'] UINs: ['10673342253441197091', '10673342253451310788', '10673342253441394997'</t>
  </si>
  <si>
    <t>1-1.pdf</t>
  </si>
  <si>
    <t>! Взыскано A40-292175-2025_20251229_печать.pdf</t>
  </si>
  <si>
    <t>C:\Users\Logik\Documents\ИП Коротаев ОА\Архив Штрафы ИП КОА\А12 А40-292175-2025 Кукина С. М. акт +29.03.26</t>
  </si>
  <si>
    <t>10-10.pdf</t>
  </si>
  <si>
    <t>! Взыскано A40-284644-2025_20251204_печать.pdf</t>
  </si>
  <si>
    <t>C:\Users\Logik\Documents\ИП Коротаев ОА\Архив Штрафы ИП КОА\1 ИЛ\А1 А40-284644-2025 Дейна Н. В акт есть СБРФ +04.03.26\3 Заявление в МТУ А40-284644-2025</t>
  </si>
  <si>
    <t>10_Scan20260205113253.pdf</t>
  </si>
  <si>
    <t>! Взыскано A40-314481-2025_20260121_печать.pdf</t>
  </si>
  <si>
    <t>C:\Users\Logik\Documents\ИП Коротаев ОА\Архив Штрафы ИП КОА\А46 А40-314481-2025 Ваганова Е. А. -акт - 21.04.26</t>
  </si>
  <si>
    <t>11-11.pdf</t>
  </si>
  <si>
    <t>! Взыскано A40-292399-2025_20251210_печать.pdf</t>
  </si>
  <si>
    <t>C:\Users\Logik\Documents\ИП Коротаев ОА\Архив Штрафы ИП КОА\А27 А40-292399-2025 Дейна Н. В акт +10.03.26</t>
  </si>
  <si>
    <t>11_Scan20260205113253.pdf</t>
  </si>
  <si>
    <t>! Взыскано A40-314408-2025_20260121_печать.pdf</t>
  </si>
  <si>
    <t>C:\Users\Logik\Documents\ИП Коротаев ОА\Архив Штрафы ИП КОА\А41 А40-314408-2025 Ваганова Е. А. - акт - 21.04.26</t>
  </si>
  <si>
    <t>12-12.pdf</t>
  </si>
  <si>
    <t>! Взыскано A40-292402-2025_20251229_печать.pdf</t>
  </si>
  <si>
    <t>C:\Users\Logik\Documents\ИП Коротаев ОА\Архив Штрафы ИП КОА\А28 А40-292402-2025 Кукина С. М акт +29.03.26</t>
  </si>
  <si>
    <t>13-13.pdf</t>
  </si>
  <si>
    <t>! Взыскано A40-284689-2025_20251204_печать.pdf</t>
  </si>
  <si>
    <t>C:\Users\Logik\Documents\ИП Коротаев ОА\Архив Штрафы ИП КОА\А5 А40-284689-2025 Дейна Н. В акт +04.03.26</t>
  </si>
  <si>
    <t>2-2.pdf</t>
  </si>
  <si>
    <t>! Взыскано A40-292310-2025_20251229_печать.pdf</t>
  </si>
  <si>
    <t>C:\Users\Logik\Documents\ИП Коротаев ОА\Архив Штрафы ИП КОА\А21 А40-292310-2025 Кукина С. М акт +29.03.26</t>
  </si>
  <si>
    <t>3-3.pdf</t>
  </si>
  <si>
    <t>! Взыскано A40-222664-2025_20251027_печать.pdf</t>
  </si>
  <si>
    <t>C:\Users\Logik\Documents\ИП Коротаев ОА\Архив Штрафы ИП КОА\1 ИЛ\+ 332 Т1 - А40-222664-2025 Дейна Н. В -- акт\3 Заявление в МТУ А40-222664-2025</t>
  </si>
  <si>
    <t>4-4.pdf</t>
  </si>
  <si>
    <t>! Взыскано A40-247046-2025_20251031_печать.pdf</t>
  </si>
  <si>
    <t>C:\Users\Logik\Documents\ИП Коротаев ОА\Архив Штрафы ИП КОА\1 ИЛ\350 У9 А40-247046-2025 Дейна Н. В -- акт\3 Заявление в МТУ А40-247046-2025</t>
  </si>
  <si>
    <t>5-5.pdf</t>
  </si>
  <si>
    <t>6-6.pdf</t>
  </si>
  <si>
    <t>! Взыскано A40-292183-2025_20251229_печать.pdf</t>
  </si>
  <si>
    <t>C:\Users\Logik\Documents\ИП Коротаев ОА\Архив Штрафы ИП КОА\А13 А40-292183-2025 Кукина С. М. акт +29.03.26</t>
  </si>
  <si>
    <t>7-7.pdf</t>
  </si>
  <si>
    <t>! Взыскано A40-226626-2025_20251021_печать.pdf</t>
  </si>
  <si>
    <t>C:\Users\Logik\Documents\ИП Коротаев ОА\Архив Штрафы ИП КОА\1 ИЛ\+ 339 Т7 А40-226626-2025 Гилаев Д. А -- акт\3 Заявление в МТУ А40-226626-2025</t>
  </si>
  <si>
    <t>8-8.pdf</t>
  </si>
  <si>
    <t>! Взыскано A40-284652-2025_печать.pdf</t>
  </si>
  <si>
    <t>C:\Users\Logik\Documents\ИП Коротаев ОА\Архив Штрафы ИП КОА\1 ИЛ\А2 А40-284652-2025 Кукина С. М акт есть СБРФ +22.03.26\3 Заявление в МТУ А40-284652-2025</t>
  </si>
  <si>
    <t>9-9.pdf</t>
  </si>
  <si>
    <t>! Взыскано A40-284708-2025_20251222_печать.pdf</t>
  </si>
  <si>
    <t>C:\Users\Logik\Documents\ИП Коротаев ОА\Архив Штрафы ИП КОА\А8 А40-284708-2025 Кукина С. М акт +22.03.26</t>
  </si>
  <si>
    <t>пп</t>
  </si>
  <si>
    <t>отправлено</t>
  </si>
  <si>
    <t>от 10.02.2026 № 539319</t>
  </si>
  <si>
    <t>СР отправлено в суд</t>
  </si>
  <si>
    <t>ПОВТОР от 10.02.2026 № 539327</t>
  </si>
  <si>
    <t>принято судом</t>
  </si>
  <si>
    <t>от 10.02.2026 № 539125</t>
  </si>
  <si>
    <t>распечатано 10.02.2026</t>
  </si>
  <si>
    <t>от 11.02.2026 № 539735</t>
  </si>
  <si>
    <t>от 11.02.2026 № 539738</t>
  </si>
  <si>
    <t>от 11.02.2026 № 539741</t>
  </si>
  <si>
    <t>ерошкину отдал</t>
  </si>
  <si>
    <t>УИН</t>
  </si>
  <si>
    <t>Дата</t>
  </si>
  <si>
    <t>65000р вернули МТУ.pdf</t>
  </si>
  <si>
    <t>Нет в архиве</t>
  </si>
  <si>
    <t>report (29).pdf</t>
  </si>
  <si>
    <t>пп возрать оплата штрафы Платон много report - 2025-08-13T134616.696.pdf</t>
  </si>
  <si>
    <t>Сбер Банк Коротаев ОА штрафы проверка счет - 2-28-25 - 17-23.pdf</t>
  </si>
  <si>
    <t>Operation_Check_PJSC_Sberbank_04022026 (1).pdf</t>
  </si>
  <si>
    <t>Operation_Check_PJSC_Sberbank_04022026 (10).pdf</t>
  </si>
  <si>
    <t>Operation_Check_PJSC_Sberbank_04022026 (100).pdf</t>
  </si>
  <si>
    <t>Operation_Check_PJSC_Sberbank_04022026 (11).pdf</t>
  </si>
  <si>
    <t>Operation_Check_PJSC_Sberbank_04022026 (19).pdf</t>
  </si>
  <si>
    <t>Operation_Check_PJSC_Sberbank_04022026 (20).pdf</t>
  </si>
  <si>
    <t>Operation_Check_PJSC_Sberbank_04022026 (21).pdf</t>
  </si>
  <si>
    <t>Operation_Check_PJSC_Sberbank_04022026 (22).pdf</t>
  </si>
  <si>
    <t>Operation_Check_PJSC_Sberbank_04022026 (23).pdf</t>
  </si>
  <si>
    <t>Operation_Check_PJSC_Sberbank_04022026 (24).pdf</t>
  </si>
  <si>
    <t>Operation_Check_PJSC_Sberbank_04022026 (25).pdf</t>
  </si>
  <si>
    <t>Operation_Check_PJSC_Sberbank_04022026 (26).pdf</t>
  </si>
  <si>
    <t>Operation_Check_PJSC_Sberbank_04022026 (27).pdf</t>
  </si>
  <si>
    <t>Operation_Check_PJSC_Sberbank_04022026 (28).pdf</t>
  </si>
  <si>
    <t>Operation_Check_PJSC_Sberbank_04022026 (29).pdf</t>
  </si>
  <si>
    <t>Operation_Check_PJSC_Sberbank_04022026 (3).pdf</t>
  </si>
  <si>
    <t>Operation_Check_PJSC_Sberbank_04022026 (30).pdf</t>
  </si>
  <si>
    <t>Operation_Check_PJSC_Sberbank_04022026 (31).pdf</t>
  </si>
  <si>
    <t>Operation_Check_PJSC_Sberbank_04022026 (32).pdf</t>
  </si>
  <si>
    <t>Operation_Check_PJSC_Sberbank_04022026 (33).pdf</t>
  </si>
  <si>
    <t>Operation_Check_PJSC_Sberbank_04022026 (34).pdf</t>
  </si>
  <si>
    <t>Operation_Check_PJSC_Sberbank_04022026 (35).pdf</t>
  </si>
  <si>
    <t>Operation_Check_PJSC_Sberbank_04022026 (36).pdf</t>
  </si>
  <si>
    <t>Operation_Check_PJSC_Sberbank_04022026 (37).pdf</t>
  </si>
  <si>
    <t>Operation_Check_PJSC_Sberbank_04022026 (38).pdf</t>
  </si>
  <si>
    <t>Operation_Check_PJSC_Sberbank_04022026 (39).pdf</t>
  </si>
  <si>
    <t>Operation_Check_PJSC_Sberbank_04022026 (4).pdf</t>
  </si>
  <si>
    <t>Operation_Check_PJSC_Sberbank_04022026 (40).pdf</t>
  </si>
  <si>
    <t>Operation_Check_PJSC_Sberbank_04022026 (41).pdf</t>
  </si>
  <si>
    <t>Operation_Check_PJSC_Sberbank_04022026 (42).pdf</t>
  </si>
  <si>
    <t>Operation_Check_PJSC_Sberbank_04022026 (43).pdf</t>
  </si>
  <si>
    <t>Operation_Check_PJSC_Sberbank_04022026 (44).pdf</t>
  </si>
  <si>
    <t>Operation_Check_PJSC_Sberbank_04022026 (45).pdf</t>
  </si>
  <si>
    <t>Operation_Check_PJSC_Sberbank_04022026 (46).pdf</t>
  </si>
  <si>
    <t>Operation_Check_PJSC_Sberbank_04022026 (47).pdf</t>
  </si>
  <si>
    <t>Operation_Check_PJSC_Sberbank_04022026 (48).pdf</t>
  </si>
  <si>
    <t>Operation_Check_PJSC_Sberbank_04022026 (49).pdf</t>
  </si>
  <si>
    <t>Operation_Check_PJSC_Sberbank_04022026 (5).pdf</t>
  </si>
  <si>
    <t>Operation_Check_PJSC_Sberbank_04022026 (50).pdf</t>
  </si>
  <si>
    <t>Operation_Check_PJSC_Sberbank_04022026 (51).pdf</t>
  </si>
  <si>
    <t>Operation_Check_PJSC_Sberbank_04022026 (52).pdf</t>
  </si>
  <si>
    <t>Operation_Check_PJSC_Sberbank_04022026 (53).pdf</t>
  </si>
  <si>
    <t>Operation_Check_PJSC_Sberbank_04022026 (54).pdf</t>
  </si>
  <si>
    <t>Operation_Check_PJSC_Sberbank_04022026 (55).pdf</t>
  </si>
  <si>
    <t>Operation_Check_PJSC_Sberbank_04022026 (56).pdf</t>
  </si>
  <si>
    <t>Operation_Check_PJSC_Sberbank_04022026 (57).pdf</t>
  </si>
  <si>
    <t>Operation_Check_PJSC_Sberbank_04022026 (58).pdf</t>
  </si>
  <si>
    <t>Operation_Check_PJSC_Sberbank_04022026 (59).pdf</t>
  </si>
  <si>
    <t>Operation_Check_PJSC_Sberbank_04022026 (6).pdf</t>
  </si>
  <si>
    <t>Operation_Check_PJSC_Sberbank_04022026 (60).pdf</t>
  </si>
  <si>
    <t>Operation_Check_PJSC_Sberbank_04022026 (61).pdf</t>
  </si>
  <si>
    <t>Operation_Check_PJSC_Sberbank_04022026 (62).pdf</t>
  </si>
  <si>
    <t>Operation_Check_PJSC_Sberbank_04022026 (63).pdf</t>
  </si>
  <si>
    <t>Operation_Check_PJSC_Sberbank_04022026 (64).pdf</t>
  </si>
  <si>
    <t>Operation_Check_PJSC_Sberbank_04022026 (65).pdf</t>
  </si>
  <si>
    <t>Operation_Check_PJSC_Sberbank_04022026 (66).pdf</t>
  </si>
  <si>
    <t>Operation_Check_PJSC_Sberbank_04022026 (67).pdf</t>
  </si>
  <si>
    <t>Operation_Check_PJSC_Sberbank_04022026 (68).pdf</t>
  </si>
  <si>
    <t>Operation_Check_PJSC_Sberbank_04022026 (69).pdf</t>
  </si>
  <si>
    <t>Operation_Check_PJSC_Sberbank_04022026 (7).pdf</t>
  </si>
  <si>
    <t>Operation_Check_PJSC_Sberbank_04022026 (70).pdf</t>
  </si>
  <si>
    <t>Operation_Check_PJSC_Sberbank_04022026 (71).pdf</t>
  </si>
  <si>
    <t>Operation_Check_PJSC_Sberbank_04022026 (72).pdf</t>
  </si>
  <si>
    <t>Operation_Check_PJSC_Sberbank_04022026 (73).pdf</t>
  </si>
  <si>
    <t>Operation_Check_PJSC_Sberbank_04022026 (74).pdf</t>
  </si>
  <si>
    <t>Operation_Check_PJSC_Sberbank_04022026 (75).pdf</t>
  </si>
  <si>
    <t>Operation_Check_PJSC_Sberbank_04022026 (76).pdf</t>
  </si>
  <si>
    <t>Operation_Check_PJSC_Sberbank_04022026 (77).pdf</t>
  </si>
  <si>
    <t>Operation_Check_PJSC_Sberbank_04022026 (78).pdf</t>
  </si>
  <si>
    <t>Operation_Check_PJSC_Sberbank_04022026 (79).pdf</t>
  </si>
  <si>
    <t>Operation_Check_PJSC_Sberbank_04022026 (8).pdf</t>
  </si>
  <si>
    <t>Operation_Check_PJSC_Sberbank_04022026 (80).pdf</t>
  </si>
  <si>
    <t>Operation_Check_PJSC_Sberbank_04022026 (81).pdf</t>
  </si>
  <si>
    <t>Operation_Check_PJSC_Sberbank_04022026 (82).pdf</t>
  </si>
  <si>
    <t>Operation_Check_PJSC_Sberbank_04022026 (83).pdf</t>
  </si>
  <si>
    <t>Operation_Check_PJSC_Sberbank_04022026 (84).pdf</t>
  </si>
  <si>
    <t>Operation_Check_PJSC_Sberbank_04022026 (85).pdf</t>
  </si>
  <si>
    <t>Operation_Check_PJSC_Sberbank_04022026 (86).pdf</t>
  </si>
  <si>
    <t>Operation_Check_PJSC_Sberbank_04022026 (87).pdf</t>
  </si>
  <si>
    <t>Operation_Check_PJSC_Sberbank_04022026 (88).pdf</t>
  </si>
  <si>
    <t>Operation_Check_PJSC_Sberbank_04022026 (89).pdf</t>
  </si>
  <si>
    <t>Operation_Check_PJSC_Sberbank_04022026 (9).pdf</t>
  </si>
  <si>
    <t>Operation_Check_PJSC_Sberbank_04022026 (90).pdf</t>
  </si>
  <si>
    <t>Operation_Check_PJSC_Sberbank_04022026 (91).pdf</t>
  </si>
  <si>
    <t>Operation_Check_PJSC_Sberbank_04022026 (92).pdf</t>
  </si>
  <si>
    <t>Operation_Check_PJSC_Sberbank_04022026 (93).pdf</t>
  </si>
  <si>
    <t>Operation_Check_PJSC_Sberbank_04022026 (94).pdf</t>
  </si>
  <si>
    <t>Operation_Check_PJSC_Sberbank_04022026 (95).pdf</t>
  </si>
  <si>
    <t>Operation_Check_PJSC_Sberbank_04022026 (96).pdf</t>
  </si>
  <si>
    <t>Operation_Check_PJSC_Sberbank_04022026 (97).pdf</t>
  </si>
  <si>
    <t>Operation_Check_PJSC_Sberbank_04022026 (98).pdf</t>
  </si>
  <si>
    <t>Operation_Check_PJSC_Sberbank_04022026 (99).pdf</t>
  </si>
  <si>
    <t>Operation_Check_PJSC_Sberbank_04022026 - 2026-02-04T135746.822.pdf</t>
  </si>
  <si>
    <t>Operation_Check_PJSC_Sberbank_04022026 - 2026-02-04T135847.763.pdf</t>
  </si>
  <si>
    <t>Operation_Check_PJSC_Sberbank_04022026 - 2026-02-04T135855.481.pdf</t>
  </si>
  <si>
    <t>Operation_Check_PJSC_Sberbank_04022026 - 2026-02-04T135902.842.pdf</t>
  </si>
  <si>
    <t>Operation_Check_PJSC_Sberbank_04022026 - 2026-02-04T135941.959.pdf</t>
  </si>
  <si>
    <t>Operation_Check_PJSC_Sberbank_04022026 - 2026-02-04T140726.903.pdf</t>
  </si>
  <si>
    <t>Operation_Check_PJSC_Sberbank_04022026 - 2026-02-04T140733.899.pdf</t>
  </si>
  <si>
    <t>Operation_Check_PJSC_Sberbank_04022026 - 2026-02-04T140742.246.pdf</t>
  </si>
  <si>
    <t>Operation_Check_PJSC_Sberbank_04022026 - 2026-02-04T140751.605.pdf</t>
  </si>
  <si>
    <t>Operation_Check_PJSC_Sberbank_04022026 - 2026-02-04T140802.100.pdf</t>
  </si>
  <si>
    <t>Operation_Check_PJSC_Sberbank_04022026 - 2026-02-04T140814.432.pdf</t>
  </si>
  <si>
    <t>Operation_Check_PJSC_Sberbank_04022026 - 2026-02-04T140820.810.pdf</t>
  </si>
  <si>
    <t>Operation_Check_PJSC_Sberbank_04022026 - 2026-02-04T140827.252.pdf</t>
  </si>
  <si>
    <t>Operation_Check_PJSC_Sberbank_04022026 - 2026-02-04T140834.735.pdf</t>
  </si>
  <si>
    <t>Operation_Check_PJSC_Sberbank_04022026 - 2026-02-04T140841.523.pdf</t>
  </si>
  <si>
    <t>Operation_Check_PJSC_Sberbank_04022026 - 2026-02-04T140939.310.pdf</t>
  </si>
  <si>
    <t>Operation_Check_PJSC_Sberbank_04022026 - 2026-02-04T141022.062.pdf</t>
  </si>
  <si>
    <t>Operation_Check_PJSC_Sberbank_04022026 - 2026-02-04T141029.910.pdf</t>
  </si>
  <si>
    <t>Operation_Check_PJSC_Sberbank_04022026 - 2026-02-04T141038.080.pdf</t>
  </si>
  <si>
    <t>Operation_Check_PJSC_Sberbank_04022026 - 2026-02-04T141046.504.pdf</t>
  </si>
  <si>
    <t>Operation_Check_PJSC_Sberbank_04022026 - 2026-02-04T141058.782.pdf</t>
  </si>
  <si>
    <t>Operation_Check_PJSC_Sberbank_04022026 - 2026-02-04T141106.048.pdf</t>
  </si>
  <si>
    <t>Operation_Check_PJSC_Sberbank_04022026 - 2026-02-04T141119.086.pdf</t>
  </si>
  <si>
    <t>Operation_Check_PJSC_Sberbank_04022026 - 2026-02-04T141125.794.pdf</t>
  </si>
  <si>
    <t>Operation_Check_PJSC_Sberbank_04022026 - 2026-02-04T141152.135.pdf</t>
  </si>
  <si>
    <t>Operation_Check_PJSC_Sberbank_04022026 - 2026-02-04T141158.135.pdf</t>
  </si>
  <si>
    <t>Operation_Check_PJSC_Sberbank_04022026 - 2026-02-04T141206.204.pdf</t>
  </si>
  <si>
    <t>Operation_Check_PJSC_Sberbank_04022026 - 2026-02-04T141216.757.pdf</t>
  </si>
  <si>
    <t>Operation_Check_PJSC_Sberbank_04022026 - 2026-02-04T141223.877.pdf</t>
  </si>
  <si>
    <t>Operation_Check_PJSC_Sberbank_04022026 - 2026-02-04T141230.617.pdf</t>
  </si>
  <si>
    <t>Operation_Check_PJSC_Sberbank_04022026 - 2026-02-04T141321.496.pdf</t>
  </si>
  <si>
    <t>Operation_Check_PJSC_Sberbank_04022026 - 2026-02-04T141457.332.pdf</t>
  </si>
  <si>
    <t>Operation_Check_PJSC_Sberbank_04022026 - 2026-02-04T141504.620.pdf</t>
  </si>
  <si>
    <t>Operation_Check_PJSC_Sberbank_04022026 - 2026-02-04T141511.556.pdf</t>
  </si>
  <si>
    <t>Operation_Check_PJSC_Sberbank_04022026 - 2026-02-04T141518.054.pdf</t>
  </si>
  <si>
    <t>Operation_Check_PJSC_Sberbank_04022026 - 2026-02-04T141525.561.pdf</t>
  </si>
  <si>
    <t>Operation_Check_PJSC_Sberbank_04022026.pdf</t>
  </si>
  <si>
    <t>Operation_Check_PJSC_Sberbank_04022026 (15).pdf</t>
  </si>
  <si>
    <t>Operation_Check_PJSC_Sberbank_04022026 (16).pdf</t>
  </si>
  <si>
    <t>Operation_Check_PJSC_Sberbank_04022026 (18).pdf</t>
  </si>
  <si>
    <t>Operation_Check_PJSC_Sberbank_04022026 (2).pdf</t>
  </si>
  <si>
    <t>Operation_Check_PJSC_Sberbank_04022026 (12).pdf</t>
  </si>
  <si>
    <t>Operation_Check_PJSC_Sberbank_04022026 (13).pdf</t>
  </si>
  <si>
    <t>Operation_Check_PJSC_Sberbank_04022026 (14).pdf</t>
  </si>
  <si>
    <t>Operation_Check_PJSC_Sberbank_04022026 (17).pdf</t>
  </si>
  <si>
    <t>report (10).pdf</t>
  </si>
  <si>
    <t>Найдено</t>
  </si>
  <si>
    <t>Чек_31-03-2025_10673342253454213252.pdf</t>
  </si>
  <si>
    <t>C:\Users\Logik\Documents\ИП Коротаев ОА\Архив Штрафы ИП КОА\1 ИЛ\_ИЛ нет\214 Г7 А40-84444-2025 Ласкина С. О. + есть 15-90 мту\3 Заявление в МТУ А40-84444-2025</t>
  </si>
  <si>
    <t>report (12) (1).pdf</t>
  </si>
  <si>
    <t>Чек_31-03-2025_10673342253454475633.pdf</t>
  </si>
  <si>
    <t>report (13) (1).pdf</t>
  </si>
  <si>
    <t>Чек_31-03-2025_10673342253453453543.pdf</t>
  </si>
  <si>
    <t>C:\Users\Logik\Documents\ИП Коротаев ОА\Архив Штрафы ИП КОА\1 ИЛ\_ИЛ нет\215 Г6 А40-84501-2025 Ласкина С. О.+ есть 15-90 мту\3 Заявление в МТУ А40-84501-2025</t>
  </si>
  <si>
    <t>report (16).pdf</t>
  </si>
  <si>
    <t>Чек_31-03-2025_10673342253453995737.pdf</t>
  </si>
  <si>
    <t>report (17).pdf</t>
  </si>
  <si>
    <t>Чек_31-03-2025_10673342253453811806.pdf</t>
  </si>
  <si>
    <t>report (3).pdf</t>
  </si>
  <si>
    <t>Чек_03-04-2025_10673342253457021389.pdf</t>
  </si>
  <si>
    <t>C:\Users\Logik\Documents\ИП Коротаев ОА\Архив ОТКАЗЫ Штрафы\А Повтор\А51 А40-31450-22025 Ласкина С. О. -</t>
  </si>
  <si>
    <t>report (4) (1).pdf</t>
  </si>
  <si>
    <t>Чек_03-04-2025_10673342253457287322.pdf</t>
  </si>
  <si>
    <t>C:\Users\Logik\Documents\ИП Коротаев ОА\Архив Штрафы ИП КОА\_новые 2026 на обработку\А52-2 А40-309645-2025 Дейна Н. В</t>
  </si>
  <si>
    <t>report (4).pdf</t>
  </si>
  <si>
    <t>Чек_31-03-2025_10673342253454968423.pdf</t>
  </si>
  <si>
    <t>C:\Users\Logik\Documents\ИП Коротаев ОА\Архив Штрафы ИП КОА\1 ИЛ\216 Г8 А40-84653-2025 Кипель М. Т. есть 93750 мту\3 Заявление в МТУ А40-84653-2025</t>
  </si>
  <si>
    <t>report (5) (1).pdf</t>
  </si>
  <si>
    <t>Чек_03-04-2025_10673342253457559346.pdf</t>
  </si>
  <si>
    <t>report (5).pdf</t>
  </si>
  <si>
    <t>Чек_31-03-2025_10673342253454852646.pdf</t>
  </si>
  <si>
    <t>report (6).pdf</t>
  </si>
  <si>
    <t>Чек_31-03-2025_10673342253454783261.pdf</t>
  </si>
  <si>
    <t>report (7).pdf</t>
  </si>
  <si>
    <t>Чек_31-03-2025_10673342253454718184.pdf</t>
  </si>
  <si>
    <t>report (8).pdf</t>
  </si>
  <si>
    <t>Чек_31-03-2025_10673342253454729958.pdf</t>
  </si>
  <si>
    <t>report (9).pdf</t>
  </si>
  <si>
    <t>Чек_31-03-2025_10673342253454658537.pdf</t>
  </si>
  <si>
    <t>01_report - 2025-04-03T111309.132.pdf</t>
  </si>
  <si>
    <t>Чек_02-04-2025_10673342253455158786.pdf</t>
  </si>
  <si>
    <t>C:\Users\Logik\Documents\ИП Коротаев ОА\Архив Штрафы ИП КОА\1 ИЛ\_ИЛ есть\217 Г9 А40-84735-2025 Дейна Н.В мту\3 Заявление в МТУ А40-84735-2025</t>
  </si>
  <si>
    <t>02_report - 2025-04-03T111309.132.pdf</t>
  </si>
  <si>
    <t>Чек_02-04-2025_10673342253456433489.pdf</t>
  </si>
  <si>
    <t>03_report - 2025-04-03T111309.132.pdf</t>
  </si>
  <si>
    <t>Чек_02-04-2025_10673342253455683678.pdf</t>
  </si>
  <si>
    <t>04_report - 2025-04-03T111309.132.pdf</t>
  </si>
  <si>
    <t>Чек_02-04-2025_10673342253455697806.pdf</t>
  </si>
  <si>
    <t>05_report - 2025-04-03T111309.132.pdf</t>
  </si>
  <si>
    <t>06_report - 2025-04-03T111309.132.pdf</t>
  </si>
  <si>
    <t>Чек_02-04-2025_10673342253445537113.pdf</t>
  </si>
  <si>
    <t>C:\Users\Logik\Documents\ИП Коротаев ОА\Архив Штрафы ИП КОА\1 ИЛ\_ИЛ есть\200 В3 А40-72876-2025 Немова О. Ю мту\3 Заявление в МТУ А40-72876-2025</t>
  </si>
  <si>
    <t>07_report - 2025-04-03T111309.132.pdf</t>
  </si>
  <si>
    <t>08_report - 2025-04-03T111309.132.pdf</t>
  </si>
  <si>
    <t>Чек_02-04-2025_10673342253445338412.pdf</t>
  </si>
  <si>
    <t>09_report - 2025-04-03T111309.132.pdf</t>
  </si>
  <si>
    <t>Чек_02-04-2025_10673342253445636359.pdf</t>
  </si>
  <si>
    <t>10_report - 2025-04-03T111309.132.pdf</t>
  </si>
  <si>
    <t>11_report - 2025-04-03T111309.132.pdf</t>
  </si>
  <si>
    <t>12_report - 2025-04-03T111309.132.pdf</t>
  </si>
  <si>
    <t>13_report - 2025-04-03T111309.132.pdf</t>
  </si>
  <si>
    <t>14_report - 2025-04-03T111309.132.pdf</t>
  </si>
  <si>
    <t>15_report - 2025-04-03T111309.132.pdf</t>
  </si>
  <si>
    <t>Чек_02-04-2025_10673342253445657747.pdf</t>
  </si>
  <si>
    <t>16_report - 2025-04-03T111309.132.pdf</t>
  </si>
  <si>
    <t>17_report - 2025-04-03T111309.132.pdf</t>
  </si>
  <si>
    <t>18_report - 2025-04-03T111309.132.pdf</t>
  </si>
  <si>
    <t>19_report - 2025-04-03T111309.132.pdf</t>
  </si>
  <si>
    <t>20_report - 2025-04-03T111309.132.pdf</t>
  </si>
  <si>
    <t>21_report - 2025-04-03T111309.132.pdf</t>
  </si>
  <si>
    <t>22_report - 2025-04-03T111309.132.pdf</t>
  </si>
  <si>
    <t>23_report - 2025-04-03T111309.132.pdf</t>
  </si>
  <si>
    <t>Чек_02-04-2025_10673342253447954269.pdf</t>
  </si>
  <si>
    <t>C:\Users\Logik\Documents\ИП Коротаев ОА\Архив Штрафы ИП КОА\1 ИЛ\_ИЛ есть\204 В7 А40-73404-2025  Вихарев А.В мту\3 Заявление в МТУ А40-73404-2025</t>
  </si>
  <si>
    <t>24_report - 2025-04-03T111309.132.pdf</t>
  </si>
  <si>
    <t>Чек_02-04-2025_10673342253448205162.pdf</t>
  </si>
  <si>
    <t>25_report - 2025-04-03T111309.132.pdf</t>
  </si>
  <si>
    <t>Чек_02-04-2025_10673342253448440209.pdf</t>
  </si>
  <si>
    <t>26_report - 2025-04-03T111309.132.pdf</t>
  </si>
  <si>
    <t>Чек_02-04-2025_10673342253448563387.pdf</t>
  </si>
  <si>
    <t>C:\Users\Logik\Documents\ИП Коротаев ОА\Архив Штрафы ИП КОА\1 ИЛ\_ИЛ есть\205 В8 А40-73463-2025 Поздняков В. Д - мту\3 Заявление в МТУ А40-73463-2025</t>
  </si>
  <si>
    <t>27_report - 2025-04-03T111309.132.pdf</t>
  </si>
  <si>
    <t>Чек_02-04-2025_10673342253448495136.pdf</t>
  </si>
  <si>
    <t>28_report - 2025-04-03T111309.132.pdf</t>
  </si>
  <si>
    <t>Чек_02-04-2025_10673342253448545869.pdf</t>
  </si>
  <si>
    <t>29_report - 2025-04-03T111309.132.pdf</t>
  </si>
  <si>
    <t>Чек_02-04-2025_10673342253447978362.pdf</t>
  </si>
  <si>
    <t>report (50).pdf</t>
  </si>
  <si>
    <t>Чек_06-03-2025_10673342253433844547.pdf</t>
  </si>
  <si>
    <t>C:\Users\Logik\Documents\ИП Коротаев ОА\Архив Штрафы ИП КОА\1 ИЛ\_ИЛ есть\182 А2 А40-58880-2025 Поздняков В.Д мту\3 Заявление в МТУ А40-58880-2025</t>
  </si>
  <si>
    <t>report (51).pdf</t>
  </si>
  <si>
    <t>Чек_06-03-2025_10673342253433366327.pdf</t>
  </si>
  <si>
    <t>report (52).pdf</t>
  </si>
  <si>
    <t>Чек_06-03-2025_10673342253433636189.pdf</t>
  </si>
  <si>
    <t>report (53).pdf</t>
  </si>
  <si>
    <t>report (54).pdf</t>
  </si>
  <si>
    <t>01_111.pdf</t>
  </si>
  <si>
    <t>Чек_04-07-2025_10673342253434869829.pdf</t>
  </si>
  <si>
    <t>C:\Users\Logik\Documents\ИП Коротаев ОА\Архив Штрафы ИП КОА\1 ИЛ\- 301 О1 А40-180841-2025 Немова О. Ю. - мту\3 Заявление в МТУ А40-180841-2025</t>
  </si>
  <si>
    <t>01_report (100).pdf</t>
  </si>
  <si>
    <t>Чек_19-09-2025_10677462254036891066.pdf</t>
  </si>
  <si>
    <t>C:\Users\Logik\Documents\ИП Коротаев ОА\Архив Штрафы ИП КОА\1 ИЛ\357 Ф2 А40-261065-2025 Сизова О. В. - мту\3 Заявление в МТУ А40-261065-2025</t>
  </si>
  <si>
    <t>01_report (26).pdf</t>
  </si>
  <si>
    <t>Чек_29-08-2025_10677462254025680212.pdf</t>
  </si>
  <si>
    <t>C:\Users\Logik\Documents\ИП Коротаев ОА\Архив Штрафы ИП КОА\1 ИЛ\343 У3 А40-236732-2025 Кипель М. Т -- акт\3 Заявление в МТУ А40-236732-2025</t>
  </si>
  <si>
    <t>01_report (66).pdf</t>
  </si>
  <si>
    <t>Чек_19-06-2025_10673342253423125041.pdf</t>
  </si>
  <si>
    <t>C:\Users\Logik\Documents\ИП Коротаев ОА\Архив Штрафы ИП КОА\1 ИЛ\- 292 Н1 А40-165364-2025 Немова О. Ю.  - мту\3 Заявление в МТУ А40-165364-2025</t>
  </si>
  <si>
    <t>01_report - 2025-07-03T085420.579.pdf</t>
  </si>
  <si>
    <t>Чек_02-07-2025_10673342253432327263.pdf</t>
  </si>
  <si>
    <t>C:\Users\Logik\Documents\ИП Коротаев ОА\Архив Штрафы ИП КОА\1 ИЛ\_ИЛ есть\300 Н9 А40-165398-2025 Поздняков В. Д. -- мту\3 Заявление в МТУ А40-165398-2025</t>
  </si>
  <si>
    <t>01_report - 2025-07-23T081844.967.pdf</t>
  </si>
  <si>
    <t>Чек_22-07-2025_10677462254002922899.pdf</t>
  </si>
  <si>
    <t>C:\Users\Logik\Documents\ИП Коротаев ОА\Архив Штрафы ИП КОА\1 ИЛ\312 П3 А40-197051-2025 Уточкин И. Н. -- мту\3 Заявление в МТУ А40-197051-2025</t>
  </si>
  <si>
    <t>01_report - 2025-09-25T125903.513.pdf</t>
  </si>
  <si>
    <t>Чек_25-09-2025_10677462254039705565.pdf</t>
  </si>
  <si>
    <t>01_report - 2025-10-10T081610.729.pdf</t>
  </si>
  <si>
    <t>Чек_08-10-2025_10677462254042845958.pdf</t>
  </si>
  <si>
    <t>01_report - 2025-10-14T143931.811.pdf</t>
  </si>
  <si>
    <t>Чек_10-07-2025_10673342253440303149.pdf</t>
  </si>
  <si>
    <t>C:\Users\Logik\Documents\ИП Коротаев ОА\Архив Штрафы ИП КОА\1 ИЛ\- 306 О6 А40-180875-2025 Махлаева Т. И. -- мту\3 Заявление в МТУ А40-180875-2025</t>
  </si>
  <si>
    <t>01_report - 2025-10-15T110731.035.pdf</t>
  </si>
  <si>
    <t>Чек_08-08-2025_10677462254014639364.pdf</t>
  </si>
  <si>
    <t>01_Штрафы РТН.pdf</t>
  </si>
  <si>
    <t>Чек_28-07-2025_10677462254005728740.pdf</t>
  </si>
  <si>
    <t>C:\Users\Logik\Documents\ИП Коротаев ОА\Архив Штрафы ИП КОА\1 ИЛ\314 П5 А40-197044-2025 Харламов А. О. -- мту\3 Заявление в МТУ А40-197044-2025</t>
  </si>
  <si>
    <t>02_111.pdf</t>
  </si>
  <si>
    <t>Чек_04-07-2025_10673342253433421050.pdf</t>
  </si>
  <si>
    <t>02_report (100).pdf</t>
  </si>
  <si>
    <t>Чек_19-09-2025_10677462254036064321.pdf</t>
  </si>
  <si>
    <t>C:\Users\Logik\Documents\ИП Коротаев ОА\Архив Штрафы ИП КОА\1 ИЛ\356 Ф1 А40-261005-2025 Полякова А. Б. акт\3 Заявление в МТУ А40-261005-2025</t>
  </si>
  <si>
    <t>02_report (26).pdf</t>
  </si>
  <si>
    <t>Чек_29-08-2025_10677462254025291259.pdf</t>
  </si>
  <si>
    <t>C:\Users\Logik\Documents\ИП Коротаев ОА\Архив Штрафы ИП КОА\1 ИЛ\342 У2 А40-236729-2025 Полякова А. Б -- акт\3 Заявление в МТУ А40-236729-2025</t>
  </si>
  <si>
    <t>02_report (66).pdf</t>
  </si>
  <si>
    <t>Чек_19-06-2025_10673342253423131645.pdf</t>
  </si>
  <si>
    <t>02_report - 2025-07-03T085420.579.pdf</t>
  </si>
  <si>
    <t>Чек_02-07-2025_10673342253431347368.pdf</t>
  </si>
  <si>
    <t>C:\Users\Logik\Documents\ИП Коротаев ОА\Архив Штрафы ИП КОА\1 ИЛ\_ИЛ есть\299 Н8 А40-165391-2025 Поздняков В. Д. -- мту\3 Заявление в МТУ А40-165391-2025</t>
  </si>
  <si>
    <t>02_report - 2025-07-23T081844.967.pdf</t>
  </si>
  <si>
    <t>Чек_22-07-2025_10677462254003124600.pdf</t>
  </si>
  <si>
    <t>C:\Users\Logik\Documents\ИП Коротаев ОА\Архив Штрафы ИП КОА\1 ИЛ\313 П4 А40-197103-2025 Немова О. Ю. -- мту\3 Заявление в МТУ А40-197103-2025</t>
  </si>
  <si>
    <t>02_report - 2025-09-25T125903.513.pdf</t>
  </si>
  <si>
    <t>Чек_25-09-2025_10677462254037591074.pdf</t>
  </si>
  <si>
    <t>C:\Users\Logik\Documents\ИП Коротаев ОА\Архив Штрафы ИП КОА\1 ИЛ\359 Ф4 А40-281908-2025 Ваганова Е. А акт есть +12.03.26\3 Заявление в МТУ А40-281908-2025</t>
  </si>
  <si>
    <t>02_report - 2025-10-10T081610.729.pdf</t>
  </si>
  <si>
    <t>Чек_08-10-2025_10677462254044562424.pdf</t>
  </si>
  <si>
    <t>02_report - 2025-10-14T143931.811.pdf</t>
  </si>
  <si>
    <t>Чек_10-07-2025_10673342253440873484.pdf</t>
  </si>
  <si>
    <t>02_report - 2025-10-15T110731.035.pdf</t>
  </si>
  <si>
    <t>Чек_08-08-2025_10677462254013222338.pdf</t>
  </si>
  <si>
    <t>C:\Users\Logik\Documents\ИП Коротаев ОА\Архив Штрафы ИП КОА\1 ИЛ\+ 322 C8  А40-207489-2025 Полякова А. Б мту\3 Заявление в МТУ А40-207489-2025</t>
  </si>
  <si>
    <t>02_Штрафы РТН.pdf</t>
  </si>
  <si>
    <t>Чек_28-07-2025_10677462254005910077.pdf</t>
  </si>
  <si>
    <t>C:\Users\Logik\Documents\ИП Коротаев ОА\Архив Штрафы ИП КОА\1 ИЛ\+ 318 C1 А40-205989-2025 Кипель М. Т -- акт\3 Заявление в МТУ А40-205989-2025</t>
  </si>
  <si>
    <t>03_111.pdf</t>
  </si>
  <si>
    <t>03_report (100).pdf</t>
  </si>
  <si>
    <t>Чек_19-09-2025_10677462254036802258.pdf</t>
  </si>
  <si>
    <t>03_report (26).pdf</t>
  </si>
  <si>
    <t>Чек_29-08-2025_10677462254026234022.pdf</t>
  </si>
  <si>
    <t>03_report (66).pdf</t>
  </si>
  <si>
    <t>Чек_19-06-2025_10673342253422967979.pdf</t>
  </si>
  <si>
    <t>03_report - 2025-07-03T085420.579.pdf</t>
  </si>
  <si>
    <t>Чек_02-07-2025_10673342253431632771.pdf</t>
  </si>
  <si>
    <t>03_report - 2025-07-23T081844.967.pdf</t>
  </si>
  <si>
    <t>Чек_22-07-2025_10677462254002437877.pdf</t>
  </si>
  <si>
    <t>03_report - 2025-10-14T143931.811.pdf</t>
  </si>
  <si>
    <t>Чек_10-07-2025_10673342253440146043.pdf</t>
  </si>
  <si>
    <t>03_report - 2025-10-15T110731.035.pdf</t>
  </si>
  <si>
    <t>Чек_08-08-2025_10677462254014625169.pdf</t>
  </si>
  <si>
    <t>03_Штрафы РТН.pdf</t>
  </si>
  <si>
    <t>Чек_28-07-2025_10677462254004665508.pdf</t>
  </si>
  <si>
    <t>04_111.pdf</t>
  </si>
  <si>
    <t>Чек_04-07-2025_10673342253434075113.pdf</t>
  </si>
  <si>
    <t>04_report (100).pdf</t>
  </si>
  <si>
    <t>Чек_19-09-2025_10677462254036391926.pdf</t>
  </si>
  <si>
    <t>04_report (26).pdf</t>
  </si>
  <si>
    <t>Чек_29-08-2025_10677462254025994608.pdf</t>
  </si>
  <si>
    <t>04_report - 2025-07-03T085420.579.pdf</t>
  </si>
  <si>
    <t>Чек_02-07-2025_10673342253430737391.pdf</t>
  </si>
  <si>
    <t>04_report - 2025-07-23T081844.967.pdf</t>
  </si>
  <si>
    <t>Чек_22-07-2025_10677462254004156115.pdf</t>
  </si>
  <si>
    <t>04_report - 2025-10-14T143931.811.pdf</t>
  </si>
  <si>
    <t>Чек_10-07-2025_10673342253439165269.pdf</t>
  </si>
  <si>
    <t>C:\Users\Logik\Documents\ИП Коротаев ОА\Архив Штрафы ИП КОА\1 ИЛ\- 305 О5 А40-180871-2025 Девицкая Н. Е. - мту\3 Заявление в МТУ А40-180871-2025</t>
  </si>
  <si>
    <t>04_report - 2025-10-15T110731.035.pdf</t>
  </si>
  <si>
    <t>Чек_08-08-2025_10677462254013266203.pdf</t>
  </si>
  <si>
    <t>04_Штрафы РТН.pdf</t>
  </si>
  <si>
    <t>Чек_28-07-2025_10677462254006064676.pdf</t>
  </si>
  <si>
    <t>05_111.pdf</t>
  </si>
  <si>
    <t>Чек_04-07-2025_10673342253433502596.pdf</t>
  </si>
  <si>
    <t>05_report (100).pdf</t>
  </si>
  <si>
    <t>Чек_19-09-2025_10677462254037046017.pdf</t>
  </si>
  <si>
    <t>C:\Users\Logik\Documents\ИП Коротаев ОА\Архив Штрафы ИП КОА\1 ИЛ\358 Ф3 А40-261142-2025 Кузин М. М. +1 акт ЭЦП +21.02.26\3 Заявление в МТУ А40-261142-2025</t>
  </si>
  <si>
    <t>05_report (26).pdf</t>
  </si>
  <si>
    <t>Чек_29-08-2025_10677462254025830486.pdf</t>
  </si>
  <si>
    <t>05_report - 2025-07-03T085420.579.pdf</t>
  </si>
  <si>
    <t>Чек_02-07-2025_10673342253430972343.pdf</t>
  </si>
  <si>
    <t>05_report - 2025-07-23T081844.967.pdf</t>
  </si>
  <si>
    <t>Чек_22-07-2025_10677462254003942699.pdf</t>
  </si>
  <si>
    <t>05_report - 2025-10-14T143931.811.pdf</t>
  </si>
  <si>
    <t>Чек_10-07-2025_10673342253439388225.pdf</t>
  </si>
  <si>
    <t>05_report - 2025-10-15T110731.035.pdf</t>
  </si>
  <si>
    <t>Чек_08-08-2025_10677462254013356393.pdf</t>
  </si>
  <si>
    <t>05_Штрафы РТН.pdf</t>
  </si>
  <si>
    <t>Чек_28-07-2025_10677462254005857117.pdf</t>
  </si>
  <si>
    <t>06_111.pdf</t>
  </si>
  <si>
    <t>Чек_04-07-2025_10673342253437668905.pdf</t>
  </si>
  <si>
    <t>C:\Users\Logik\Documents\ИП Коротаев ОА\Архив Штрафы ИП КОА\1 ИЛ\304 О4 А40-180862-2025 Папелишвили Г. Н. -- в части3 мту\3 Заявление в МТУ А40-180862-2025</t>
  </si>
  <si>
    <t>06_report (100).pdf</t>
  </si>
  <si>
    <t>Чек_19-09-2025_10677462254035311325.pdf</t>
  </si>
  <si>
    <t>06_report - 2025-07-03T085420.579.pdf</t>
  </si>
  <si>
    <t>Чек_02-07-2025_10673342253430452508.pdf</t>
  </si>
  <si>
    <t>06_report - 2025-07-23T081844.967.pdf</t>
  </si>
  <si>
    <t>Чек_22-07-2025_10677462254003793774.pdf</t>
  </si>
  <si>
    <t>06_report - 2025-10-14T143931.811.pdf</t>
  </si>
  <si>
    <t>Чек_10-07-2025_10673342253439103212.pdf</t>
  </si>
  <si>
    <t>06_report - 2025-10-15T110731.035.pdf</t>
  </si>
  <si>
    <t>Чек_08-08-2025_10677462254013587018.pdf</t>
  </si>
  <si>
    <t>C:\Users\Logik\Documents\ИП Коротаев ОА\Архив Штрафы ИП КОА\1 ИЛ\317 С9 А40-207531-2025 Харламов А. О мту\3 Заявление в МТУ А40-207531-2025</t>
  </si>
  <si>
    <t>06_Штрафы РТН.pdf</t>
  </si>
  <si>
    <t>Чек_28-07-2025_10677462254005799362.pdf</t>
  </si>
  <si>
    <t>07_111.pdf</t>
  </si>
  <si>
    <t>07_report (100).pdf</t>
  </si>
  <si>
    <t>Чек_19-09-2025_10677462254037327334.pdf</t>
  </si>
  <si>
    <t>07_report - 2025-07-03T085420.579.pdf</t>
  </si>
  <si>
    <t>Чек_02-07-2025_10673342253429741070.pdf</t>
  </si>
  <si>
    <t>C:\Users\Logik\Documents\ИП Коротаев ОА\Архив Штрафы ИП КОА\1 ИЛ\_ИЛ нет\- 298 Н7 А40-165389-2025 Дейна Н. В. -  мту\3 Заявление в МТУ А40-165389-2025</t>
  </si>
  <si>
    <t>07_report - 2025-10-14T143931.811.pdf</t>
  </si>
  <si>
    <t>Чек_10-07-2025_10673342253439587821.pdf</t>
  </si>
  <si>
    <t>07_report - 2025-10-15T110731.035.pdf</t>
  </si>
  <si>
    <t>Чек_08-08-2025_10677462254013530369.pdf</t>
  </si>
  <si>
    <t>07_Штрафы РТН.pdf</t>
  </si>
  <si>
    <t>Чек_28-07-2025_10677462254005367217.pdf</t>
  </si>
  <si>
    <t>08_111.pdf</t>
  </si>
  <si>
    <t>Чек_04-07-2025_10673342253437544238.pdf</t>
  </si>
  <si>
    <t>C:\Users\Logik\Documents\ИП Коротаев ОА\Архив Штрафы ИП КОА\1 ИЛ\303 О3 А40-180851-2025 Папелишвили Г. Н. в части2 -- мту\3 Заявление в МТУ А40-180851-2025</t>
  </si>
  <si>
    <t>08_report (100).pdf</t>
  </si>
  <si>
    <t>Чек_19-09-2025_10677462254037015553.pdf</t>
  </si>
  <si>
    <t>08_report - 2025-07-03T085420.579.pdf</t>
  </si>
  <si>
    <t>Чек_02-07-2025_10673342253429917705.pdf</t>
  </si>
  <si>
    <t>08_report - 2025-10-14T143931.811.pdf</t>
  </si>
  <si>
    <t>Чек_10-07-2025_10673342253439937156.pdf</t>
  </si>
  <si>
    <t>08_report - 2025-10-15T110731.035.pdf</t>
  </si>
  <si>
    <t>Чек_08-08-2025_10677462254014022316.pdf</t>
  </si>
  <si>
    <t>09_111.pdf</t>
  </si>
  <si>
    <t>Чек_04-07-2025_10673342253437188946.pdf</t>
  </si>
  <si>
    <t>09_report - 2025-07-03T085420.579.pdf</t>
  </si>
  <si>
    <t>Чек_02-07-2025_10673342253429671153.pdf</t>
  </si>
  <si>
    <t>09_report - 2025-10-14T143931.811.pdf</t>
  </si>
  <si>
    <t>Чек_10-07-2025_10673342253439546068.pdf</t>
  </si>
  <si>
    <t>09_report - 2025-10-15T110731.035.pdf</t>
  </si>
  <si>
    <t>Чек_08-08-2025_10677462254014503160.pdf</t>
  </si>
  <si>
    <t>10_111.pdf</t>
  </si>
  <si>
    <t>Чек_04-07-2025_10673342253436883608.pdf</t>
  </si>
  <si>
    <t>10_report - 2025-07-03T085420.579.pdf</t>
  </si>
  <si>
    <t>Чек_02-07-2025_10673342253432100676.pdf</t>
  </si>
  <si>
    <t>10_report - 2025-10-14T143931.811.pdf</t>
  </si>
  <si>
    <t>Чек_10-07-2025_10673342253438145418.pdf</t>
  </si>
  <si>
    <t>10_report - 2025-10-15T110731.035.pdf</t>
  </si>
  <si>
    <t>Чек_08-08-2025_10677462254013011906.pdf</t>
  </si>
  <si>
    <t>11_111.pdf</t>
  </si>
  <si>
    <t>Чек_04-07-2025_10673342253437124921.pdf</t>
  </si>
  <si>
    <t>11_report - 2025-07-03T085420.579.pdf</t>
  </si>
  <si>
    <t>Чек_02-07-2025_10673342253432554456.pdf</t>
  </si>
  <si>
    <t>11_report - 2025-10-15T110731.035.pdf</t>
  </si>
  <si>
    <t>Чек_08-08-2025_10677462254014954125.pdf</t>
  </si>
  <si>
    <t>12_111.pdf</t>
  </si>
  <si>
    <t>12_report - 2025-07-03T085420.579.pdf</t>
  </si>
  <si>
    <t>Чек_02-07-2025_10673342253429251189.pdf</t>
  </si>
  <si>
    <t>C:\Users\Logik\Documents\ИП Коротаев ОА\Архив Штрафы ИП КОА\1 ИЛ\- 297 Н6 А40-165379-2025 Нариманидзе Н. А. -  мту\3 Заявление в МТУ А40-165379-2025</t>
  </si>
  <si>
    <t>13_111.pdf</t>
  </si>
  <si>
    <t>13_report - 2025-07-03T085420.579.pdf</t>
  </si>
  <si>
    <t>Чек_02-07-2025_10673342253429380825.pdf</t>
  </si>
  <si>
    <t>14_111.pdf</t>
  </si>
  <si>
    <t>14_report - 2025-07-03T085420.579.pdf</t>
  </si>
  <si>
    <t>Чек_02-07-2025_10673342253429176772.pdf</t>
  </si>
  <si>
    <t>15_111.pdf</t>
  </si>
  <si>
    <t>15_report - 2025-07-03T085420.579.pdf</t>
  </si>
  <si>
    <t>Чек_02-07-2025_10673342253429156844.pdf</t>
  </si>
  <si>
    <t>C:\Users\Logik\Documents\ИП Коротаев ОА\Архив Штрафы ИП КОА\1 ИЛ\- 296 Н5 А40-165375-2025 Ласкина С. О.  - мту\3 Заявление в МТУ А40-165375-2025</t>
  </si>
  <si>
    <t>16_111.pdf</t>
  </si>
  <si>
    <t>16_report - 2025-07-03T085420.579.pdf</t>
  </si>
  <si>
    <t>Чек_02-07-2025_10673342253429187790.pdf</t>
  </si>
  <si>
    <t>17_111.pdf</t>
  </si>
  <si>
    <t>Чек_04-07-2025_10673342253438488825.pdf</t>
  </si>
  <si>
    <t>17_report - 2025-07-03T085420.579.pdf</t>
  </si>
  <si>
    <t>Чек_02-07-2025_10673342253429750541.pdf</t>
  </si>
  <si>
    <t>report - 2025-10-02T160925.315.pdf</t>
  </si>
  <si>
    <t>Чек_02-10-2025_10677462254041685835.pdf</t>
  </si>
  <si>
    <t>01_report - 2025-06-04T135819.799.pdf</t>
  </si>
  <si>
    <t>02_report - 2025-06-04T135819.799.pdf</t>
  </si>
  <si>
    <t>Чек_04-06-2025_10673342253410307405.pdf</t>
  </si>
  <si>
    <t>C:\Users\Logik\Documents\ИП Коротаев ОА\Архив Штрафы ИП КОА\1 ИЛ\279 Л3 А40-140514-2025 Харламов А. О. мту\3 Заявление в МТУ А40-140514-2025</t>
  </si>
  <si>
    <t>03_report - 2025-06-04T135819.799.pdf</t>
  </si>
  <si>
    <t>04_report - 2025-06-04T135819.799.pdf</t>
  </si>
  <si>
    <t>Чек_04-06-2025_10673342253410395940.pdf</t>
  </si>
  <si>
    <t>05_report - 2025-06-04T135819.799.pdf</t>
  </si>
  <si>
    <t>06_report - 2025-06-04T135819.799.pdf</t>
  </si>
  <si>
    <t>Чек_04-06-2025_10673342253410708302.pdf</t>
  </si>
  <si>
    <t>07_report - 2025-06-04T135819.799.pdf</t>
  </si>
  <si>
    <t>08_report - 2025-06-04T135819.799.pdf</t>
  </si>
  <si>
    <t>Чек_04-06-2025_10673342253410721546.pdf</t>
  </si>
  <si>
    <t>09_report - 2025-06-04T135819.799.pdf</t>
  </si>
  <si>
    <t>10_report - 2025-06-04T135819.799.pdf</t>
  </si>
  <si>
    <t>Чек_04-06-2025_10673342253407581720.pdf</t>
  </si>
  <si>
    <t>C:\Users\Logik\Documents\ИП Коротаев ОА\Архив Штрафы ИП КОА\1 ИЛ\_ИЛ нет\276 К9 А40-140257-2025 Кукина С. М. мту\3 Заявление в МТУ А40-140257-2025</t>
  </si>
  <si>
    <t>11_report - 2025-06-04T135819.799.pdf</t>
  </si>
  <si>
    <t>Чек_04-06-2025_10673342253408603043.pdf</t>
  </si>
  <si>
    <t>C:\Users\Logik\Documents\ИП Коротаев ОА\Архив Штрафы ИП КОА\1 ИЛ\_ИЛ есть\277 Л1 А40-140396-2025 Поздняков В. Д. мту\3 Заявление в МТУ А40-140396-2025</t>
  </si>
  <si>
    <t>12_report - 2025-06-04T135819.799.pdf</t>
  </si>
  <si>
    <t>13_report - 2025-06-04T135819.799.pdf</t>
  </si>
  <si>
    <t>Чек_04-06-2025_10673342253409309386.pdf</t>
  </si>
  <si>
    <t>14_report - 2025-06-04T135819.799.pdf</t>
  </si>
  <si>
    <t>Чек_04-06-2025_10673342253407510114.pdf</t>
  </si>
  <si>
    <t>15_report - 2025-06-04T135819.799.pdf</t>
  </si>
  <si>
    <t>Чек_04-06-2025_10673342253407614904.pdf</t>
  </si>
  <si>
    <t>16_report - 2025-06-04T135819.799.pdf</t>
  </si>
  <si>
    <t>Чек_04-06-2025_10673342253407543845.pdf</t>
  </si>
  <si>
    <t>17_report - 2025-06-04T135819.799.pdf</t>
  </si>
  <si>
    <t>Чек_04-06-2025_10673342253408411624.pdf</t>
  </si>
  <si>
    <t>18_report - 2025-06-04T135819.799.pdf</t>
  </si>
  <si>
    <t>Чек_04-06-2025_10673342253408022865.pdf</t>
  </si>
  <si>
    <t>Чек_12-03-2025_10673342253437188245.pdf</t>
  </si>
  <si>
    <t>C:\Users\Logik\Documents\ИП Коротаев ОА\Архив Штрафы ИП КОА\_новые 2026 на обработку\А47 А40-314306-2025 Вихарев А. В. -</t>
  </si>
  <si>
    <t>Чек_12-03-2025_10673342253437463645.pdf</t>
  </si>
  <si>
    <t>C:\Users\Logik\Documents\ИП Коротаев ОА\Архив Штрафы ИП КОА\_новые 2026 на обработку\А48 А40-314487-2025 Аксенова Е. А. - ЭЦП</t>
  </si>
  <si>
    <t>report (18).pdf</t>
  </si>
  <si>
    <t>Чек_12-03-2025_10673342253437345448.pdf</t>
  </si>
  <si>
    <t>01_report - 2025-08-05T125419.914.pdf</t>
  </si>
  <si>
    <t>Чек_05-08-2025_10677462254010806622.pdf</t>
  </si>
  <si>
    <t>C:\Users\Logik\Documents\ИП Коротаев ОА\Архив Штрафы ИП КОА\1 ИЛ\321 C6 А40-206799-2025 Сизова О. В. -- мту\3 Заявление в МТУ А40-206799-2025</t>
  </si>
  <si>
    <t>01_report - 2025-08-06T135140.595.pdf</t>
  </si>
  <si>
    <t>Чек_06-08-2025_10677462254012257916.pdf</t>
  </si>
  <si>
    <t>C:\Users\Logik\Documents\ИП Коротаев ОА\Архив Штрафы ИП КОА\1 ИЛ\+ 323 C7 А40-206641-2025 Поздняков В. Д -- мту\3 Заявление в МТУ А40-206641-2025</t>
  </si>
  <si>
    <t>02_report - 2025-08-05T125419.914.pdf</t>
  </si>
  <si>
    <t>Чек_05-08-2025_10677462254006380543.pdf</t>
  </si>
  <si>
    <t>02_report - 2025-08-06T135140.595.pdf</t>
  </si>
  <si>
    <t>Чек_06-08-2025_10677462254012354176.pdf</t>
  </si>
  <si>
    <t>03_report - 2025-08-05T125419.914.pdf</t>
  </si>
  <si>
    <t>Чек_05-08-2025_10677462254010796201.pdf</t>
  </si>
  <si>
    <t>C:\Users\Logik\Documents\ИП Коротаев ОА\Архив Штрафы ИП КОА\1 ИЛ\324 C5 А40-206782-2025 Харламов А. О -- мту\3 Заявление в МТУ А40-206782-2025</t>
  </si>
  <si>
    <t>03_report - 2025-08-06T135140.595.pdf</t>
  </si>
  <si>
    <t>Чек_06-08-2025_10677462254011937046.pdf</t>
  </si>
  <si>
    <t>04_report - 2025-08-05T125419.914.pdf</t>
  </si>
  <si>
    <t>Чек_05-08-2025_10677462254010624435.pdf</t>
  </si>
  <si>
    <t>04_report - 2025-08-06T135140.595.pdf</t>
  </si>
  <si>
    <t>Чек_06-08-2025_10677462254011759873.pdf</t>
  </si>
  <si>
    <t>05_report - 2025-08-05T125419.914.pdf</t>
  </si>
  <si>
    <t>Чек_05-08-2025_10677462254010764555.pdf</t>
  </si>
  <si>
    <t>06_report - 2025-08-05T125419.914.pdf</t>
  </si>
  <si>
    <t>Чек_05-08-2025_10677462254010917122.pdf</t>
  </si>
  <si>
    <t>07_report - 2025-08-05T125419.914.pdf</t>
  </si>
  <si>
    <t>Чек_05-08-2025_10677462254011294676.pdf</t>
  </si>
  <si>
    <t>08_report - 2025-08-05T125419.914.pdf</t>
  </si>
  <si>
    <t>Чек_05-08-2025_10677462254011413950.pdf</t>
  </si>
  <si>
    <t>09_report - 2025-08-05T125419.914.pdf</t>
  </si>
  <si>
    <t>Чек_05-08-2025_10677462254008400355.pdf</t>
  </si>
  <si>
    <t>C:\Users\Logik\Documents\ИП Коротаев ОА\Архив Штрафы ИП КОА\1 ИЛ\+ 316 C4 А40-206741-2025 Сизова О. В мту\3 Заявление в МТУ А40-206741-2025</t>
  </si>
  <si>
    <t>10_report - 2025-08-05T125419.914.pdf</t>
  </si>
  <si>
    <t>Чек_05-08-2025_10677462254007703761.pdf</t>
  </si>
  <si>
    <t>C:\Users\Logik\Documents\ИП Коротаев ОА\Архив Штрафы ИП КОА\1 ИЛ\320 C3 А40-206708-2025 Харламов А. О -- мту\3 Заявление в МТУ А40-206708-2025</t>
  </si>
  <si>
    <t>11_report - 2025-08-05T125419.914.pdf</t>
  </si>
  <si>
    <t>Чек_05-08-2025_10677462254007615528.pdf</t>
  </si>
  <si>
    <t>12_report - 2025-08-05T125419.914.pdf</t>
  </si>
  <si>
    <t>Чек_05-08-2025_10677462254007674877.pdf</t>
  </si>
  <si>
    <t>13_report - 2025-08-05T125419.914.pdf</t>
  </si>
  <si>
    <t>Чек_05-08-2025_10677462254007163686.pdf</t>
  </si>
  <si>
    <t>C:\Users\Logik\Documents\ИП Коротаев ОА\Архив Штрафы ИП КОА\1 ИЛ\319 C2 А40-206384-2025 Вихарев А. В -- мту\3 Заявление в МТУ А40-206384-2025</t>
  </si>
  <si>
    <t>14_report - 2025-08-05T125419.914.pdf</t>
  </si>
  <si>
    <t>Чек_05-08-2025_10677462254007388262.pdf</t>
  </si>
  <si>
    <t>15_report - 2025-08-05T125419.914.pdf</t>
  </si>
  <si>
    <t>Чек_05-08-2025_10677462254007015121.pdf</t>
  </si>
  <si>
    <t>16_report - 2025-08-05T125419.914.pdf</t>
  </si>
  <si>
    <t>Чек_05-08-2025_10677462254007156124.pdf</t>
  </si>
  <si>
    <t>17_report - 2025-08-05T125419.914.pdf</t>
  </si>
  <si>
    <t>Чек_05-08-2025_10677462254006715081.pdf</t>
  </si>
  <si>
    <t>18_report - 2025-08-05T125419.914.pdf</t>
  </si>
  <si>
    <t>Чек_05-08-2025_10677462254009718480.pdf</t>
  </si>
  <si>
    <t>19_report - 2025-08-05T125419.914.pdf</t>
  </si>
  <si>
    <t>Чек_05-08-2025_10677462254009623544.pdf</t>
  </si>
  <si>
    <t>20_report - 2025-08-05T125419.914.pdf</t>
  </si>
  <si>
    <t>Чек_05-08-2025_10677462254008806173.pdf</t>
  </si>
  <si>
    <t>21_report - 2025-08-05T125419.914.pdf</t>
  </si>
  <si>
    <t>Чек_05-08-2025_10677462254008896709.pdf</t>
  </si>
  <si>
    <t>report (26).pdf</t>
  </si>
  <si>
    <t>Чек_08-04-2025_10673342253460036707.pdf</t>
  </si>
  <si>
    <t>C:\Users\Logik\Documents\ИП Коротаев ОА\Архив Штрафы ИП КОА\1 ИЛ\222 П4 А40-88854-2025 Аксенова Е. А. есть 93750 мту\3 Заявление в МТУ А40-88854-2025</t>
  </si>
  <si>
    <t>report (27).pdf</t>
  </si>
  <si>
    <t>report (28).pdf</t>
  </si>
  <si>
    <t>Чек_08-04-2025_10673342253460038629.pdf</t>
  </si>
  <si>
    <t>report (30).pdf</t>
  </si>
  <si>
    <t>Чек_08-04-2025_10673342253459575560.pdf</t>
  </si>
  <si>
    <t>report (31).pdf</t>
  </si>
  <si>
    <t>Чек_08-04-2025_10673342253459467046.pdf</t>
  </si>
  <si>
    <t>report (32).pdf</t>
  </si>
  <si>
    <t>report (33).pdf</t>
  </si>
  <si>
    <t>report (34).pdf</t>
  </si>
  <si>
    <t>report (35).pdf</t>
  </si>
  <si>
    <t>report (36).pdf</t>
  </si>
  <si>
    <t>Чек_08-04-2025_10673342253458728923.pdf</t>
  </si>
  <si>
    <t>C:\Users\Logik\Documents\ИП Коротаев ОА\Архив ОТКАЗЫ Штрафы\А Повтор\А55 А40-34-2026 Уточкин И. Н -</t>
  </si>
  <si>
    <t>report (37).pdf</t>
  </si>
  <si>
    <t>report (38).pdf</t>
  </si>
  <si>
    <t>Чек_08-04-2025_10673342253458231026.pdf</t>
  </si>
  <si>
    <t>C:\Users\Logik\Documents\ИП Коротаев ОА\Архив ОТКАЗЫ Штрафы\А Повтор\А53 А40-113-2026 Ваганова Е. А -</t>
  </si>
  <si>
    <t>report (39).pdf</t>
  </si>
  <si>
    <t>Чек_08-04-2025_10673342253458462338.pdf</t>
  </si>
  <si>
    <t>C:\Users\Logik\Documents\ИП Коротаев ОА\Архив ОТКАЗЫ Штрафы\А Повтор\А54  А40-40-2026 Харламов А. О -</t>
  </si>
  <si>
    <t>report (40).pdf</t>
  </si>
  <si>
    <t>Чек_08-04-2025_10673342253458365170.pdf</t>
  </si>
  <si>
    <t>report (41).pdf</t>
  </si>
  <si>
    <t>Чек_08-04-2025_10673342253458324784.pdf</t>
  </si>
  <si>
    <t>Чек_09-04-2025_10673342253462162181.pdf</t>
  </si>
  <si>
    <t>C:\Users\Logik\Documents\ИП Коротаев ОА\Архив ОТКАЗЫ Штрафы\А Повтор\А66 А40-82-2026 Кузин М. М -</t>
  </si>
  <si>
    <t>report (18) (1).pdf</t>
  </si>
  <si>
    <t>Чек_10-04-2025_10673342253462024765.pdf</t>
  </si>
  <si>
    <t>report (19).pdf</t>
  </si>
  <si>
    <t>Чек_10-04-2025_10673342253461908678.pdf</t>
  </si>
  <si>
    <t>report (20).pdf</t>
  </si>
  <si>
    <t>Чек_10-04-2025_10673342253461359097.pdf</t>
  </si>
  <si>
    <t>C:\Users\Logik\Documents\ИП Коротаев ОА\Архив Штрафы ИП КОА\1 ИЛ\224 П6 А40-92919-2025  Гилаев Д. А есть 93750 мту\3 Заявление в МТУ А40-92919-2025</t>
  </si>
  <si>
    <t>report (21).pdf</t>
  </si>
  <si>
    <t>Чек_10-04-2025_10673342253461682378.pdf</t>
  </si>
  <si>
    <t>report (22).pdf</t>
  </si>
  <si>
    <t>Чек_10-04-2025_10673342253461359151.pdf</t>
  </si>
  <si>
    <t>report (23).pdf</t>
  </si>
  <si>
    <t>Чек_10-04-2025_10673342253461316355.pdf</t>
  </si>
  <si>
    <t>report (24).pdf</t>
  </si>
  <si>
    <t>Чек_14-04-2025_10673342253466479295.pdf</t>
  </si>
  <si>
    <t>C:\Users\Logik\Documents\ИП Коротаев ОА\Архив ОТКАЗЫ Штрафы\А Повтор\А67 А40-98-2026 Ласкина С. О -</t>
  </si>
  <si>
    <t>Чек_14-04-2025_10673342253466347186.pdf</t>
  </si>
  <si>
    <t>C:\Users\Logik\Documents\ИП Коротаев ОА\Архив Штрафы ИП КОА\1 ИЛ\_ИЛ нет\229 Р2 А40-97318-2025 Кипель М. Т мту\3 Заявление в МТУ А40-97318-2025</t>
  </si>
  <si>
    <t>Чек_14-04-2025_10673342253465838788.pdf</t>
  </si>
  <si>
    <t>Чек_14-04-2025_10673342253465411549.pdf</t>
  </si>
  <si>
    <t>report (53) (1).pdf</t>
  </si>
  <si>
    <t>Чек_16-04-2025_10673342253468068993.pdf</t>
  </si>
  <si>
    <t>C:\Users\Logik\Documents\ИП Коротаев ОА\Архив ОТКАЗЫ Штрафы\А Повтор\А68 А40-167-2026 Вихарев А. В -</t>
  </si>
  <si>
    <t>report (55).pdf</t>
  </si>
  <si>
    <t>Чек_16-04-2025_10673342253467915986.pdf</t>
  </si>
  <si>
    <t>report (56).pdf</t>
  </si>
  <si>
    <t>Чек_16-04-2025_10673342253468458457.pdf</t>
  </si>
  <si>
    <t>Чек_09-04-2025_10673342253463196381.pdf</t>
  </si>
  <si>
    <t>Чек_09-04-2025_10673342253462919150.pdf</t>
  </si>
  <si>
    <t>Чек_09-04-2025_10673342253462678455.pdf</t>
  </si>
  <si>
    <t>report (45).pdf</t>
  </si>
  <si>
    <t>Чек_17-03-2025_10673342253440357877.pdf</t>
  </si>
  <si>
    <t>C:\Users\Logik\Documents\ИП Коротаев ОА\Архив Штрафы ИП КОА\_новые 2026 на обработку\А49 А40-314489-2025 Гилаев Д. А. -</t>
  </si>
  <si>
    <t>report (46).pdf</t>
  </si>
  <si>
    <t>Чек_17-03-2025_10673342253439941137.pdf</t>
  </si>
  <si>
    <t>C:\Users\Logik\Documents\ИП Коротаев ОА\Архив Штрафы ИП КОА\1 ИЛ\_ИЛ есть\191 Б2 А40-67215-2025 Дейна Н. В. есть 93750 мту\3 Заявление в МТУ А40-67215-2025</t>
  </si>
  <si>
    <t>report (47).pdf</t>
  </si>
  <si>
    <t>Чек_17-03-2025_10673342253440355785.pdf</t>
  </si>
  <si>
    <t>report (48).pdf</t>
  </si>
  <si>
    <t>Чек_17-03-2025_10673342253440204582.pdf</t>
  </si>
  <si>
    <t>report (49).pdf</t>
  </si>
  <si>
    <t>Чек_17-03-2025_10673342253439764006.pdf</t>
  </si>
  <si>
    <t>C:\Users\Logik\Documents\ИП Коротаев ОА\Архив Штрафы ИП КОА\1 ИЛ\_ИЛ есть\190 Б1 А40-67141-2025 Вихарев А. В мту\3 Заявление в МТУ А40-67141-2025</t>
  </si>
  <si>
    <t>Чек_17-03-2025_10673342253439860552.pdf</t>
  </si>
  <si>
    <t>Чек_17-03-2025_10673342253439785038.pdf</t>
  </si>
  <si>
    <t>Чек_17-03-2025_10673342253439757654.pdf</t>
  </si>
  <si>
    <t>Чек_17-03-2025_10673342253439681003.pdf</t>
  </si>
  <si>
    <t>report (71).pdf</t>
  </si>
  <si>
    <t>Чек_11-03-2025_10673342253436137922.pdf</t>
  </si>
  <si>
    <t>C:\Users\Logik\Documents\ИП Коротаев ОА\Архив Штрафы ИП КОА\1 ИЛ\_ИЛ есть\184 А4 А40-61158-2025 Аксенова Е. А мту\3 Заявление в МТУ А40-61158-2025</t>
  </si>
  <si>
    <t>report (72).pdf</t>
  </si>
  <si>
    <t>Чек_11-03-2025_10673342253435965899.pdf</t>
  </si>
  <si>
    <t>report (74).pdf</t>
  </si>
  <si>
    <t>Чек_11-03-2025_10673342253435666980.pdf</t>
  </si>
  <si>
    <t>report (75).pdf</t>
  </si>
  <si>
    <t>Чек_11-03-2025_10673342253435618633.pdf</t>
  </si>
  <si>
    <t>01_report (55).pdf</t>
  </si>
  <si>
    <t>Чек_10-09-2025_10677462254031159782.pdf</t>
  </si>
  <si>
    <t>C:\Users\Logik\Documents\ИП Коротаев ОА\Архив Штрафы ИП КОА\1 ИЛ\348 У7 А40-246918-2025 Девицкая Н. Е -- акт\3 Заявление в МТУ А40-246918-2025</t>
  </si>
  <si>
    <t>01_report (57).pdf</t>
  </si>
  <si>
    <t>Чек_11-09-2025_10677462254032453617.pdf</t>
  </si>
  <si>
    <t>C:\Users\Logik\Documents\ИП Коротаев ОА\Архив Штрафы ИП КОА\1 ИЛ\349 У8 А40-246984-2025 Кипель М. Т -- акт\3 Заявление в МТУ А40-246984-2025</t>
  </si>
  <si>
    <t>01_report (68).pdf</t>
  </si>
  <si>
    <t>01_report (69).pdf</t>
  </si>
  <si>
    <t>01_report (70).pdf</t>
  </si>
  <si>
    <t>01_report (72).pdf</t>
  </si>
  <si>
    <t>Чек_16-09-2025_10677462254034630583.pdf</t>
  </si>
  <si>
    <t>C:\Users\Logik\Documents\ИП Коротаев ОА\Архив Штрафы ИП КОА\1 ИЛ\351 У10 А40-246876-2025 Сизова О. В -- мту\3 Заявление в МТУ А40-246876-2025</t>
  </si>
  <si>
    <t>02_report (55).pdf</t>
  </si>
  <si>
    <t>Чек_10-09-2025_10677462254031477970.pdf</t>
  </si>
  <si>
    <t>02_report (57).pdf</t>
  </si>
  <si>
    <t>Чек_11-09-2025_10677462254032983624.pdf</t>
  </si>
  <si>
    <t>02_report (68).pdf</t>
  </si>
  <si>
    <t>02_report (69).pdf</t>
  </si>
  <si>
    <t>02_report (70).pdf</t>
  </si>
  <si>
    <t>02_report (72).pdf</t>
  </si>
  <si>
    <t>Чек_16-09-2025_10677462254033114549.pdf</t>
  </si>
  <si>
    <t>03_report (55).pdf</t>
  </si>
  <si>
    <t>Чек_10-09-2025_10677462254031473703.pdf</t>
  </si>
  <si>
    <t>03_report (57).pdf</t>
  </si>
  <si>
    <t>Чек_11-09-2025_10677462254032561118.pdf</t>
  </si>
  <si>
    <t>03_report (68).pdf</t>
  </si>
  <si>
    <t>03_report (69).pdf</t>
  </si>
  <si>
    <t>03_report (70).pdf</t>
  </si>
  <si>
    <t>03_report (72).pdf</t>
  </si>
  <si>
    <t>Чек_16-09-2025_10677462254034851849.pdf</t>
  </si>
  <si>
    <t>04_report (55).pdf</t>
  </si>
  <si>
    <t>Чек_10-09-2025_10677462254031116110.pdf</t>
  </si>
  <si>
    <t>C:\Users\Logik\Documents\ИП Коротаев ОА\Архив Штрафы ИП КОА\1 ИЛ\347 У6 А40-246884-2025 Ваганова Е. А - акт есть\3 Заявление в МТУ А40-246884-2025</t>
  </si>
  <si>
    <t>04_report (68).pdf</t>
  </si>
  <si>
    <t>04_report (69).pdf</t>
  </si>
  <si>
    <t>04_report (70).pdf</t>
  </si>
  <si>
    <t>04_report (72).pdf</t>
  </si>
  <si>
    <t>Чек_16-09-2025_10677462254034014831.pdf</t>
  </si>
  <si>
    <t>05_report (55).pdf</t>
  </si>
  <si>
    <t>Чек_10-09-2025_10677462254031941286.pdf</t>
  </si>
  <si>
    <t>05_report (72).pdf</t>
  </si>
  <si>
    <t>Чек_16-09-2025_10677462254033866680.pdf</t>
  </si>
  <si>
    <t>06_report (55).pdf</t>
  </si>
  <si>
    <t>Чек_10-09-2025_10677462254032156329.pdf</t>
  </si>
  <si>
    <t>06_report (72).pdf</t>
  </si>
  <si>
    <t>Чек_16-09-2025_10677462254034136384.pdf</t>
  </si>
  <si>
    <t>07_report (55).pdf</t>
  </si>
  <si>
    <t>Чек_10-09-2025_10677462254032008389.pdf</t>
  </si>
  <si>
    <t>07_report (72).pdf</t>
  </si>
  <si>
    <t>Чек_16-09-2025_10677462254033961241.pdf</t>
  </si>
  <si>
    <t>08_report (55).pdf</t>
  </si>
  <si>
    <t>Чек_10-09-2025_10677462254030490434.pdf</t>
  </si>
  <si>
    <t>08_report (72).pdf</t>
  </si>
  <si>
    <t>Чек_16-09-2025_10677462254035212297.pdf</t>
  </si>
  <si>
    <t>09_report (55).pdf</t>
  </si>
  <si>
    <t>Чек_10-09-2025_10677462254030337393.pdf</t>
  </si>
  <si>
    <t>10_report (55).pdf</t>
  </si>
  <si>
    <t>Чек_10-09-2025_10677462254028998698.pdf</t>
  </si>
  <si>
    <t>C:\Users\Logik\Documents\ИП Коротаев ОА\Архив Штрафы ИП КОА\1 ИЛ\346 У5 А40-246792-2025 Полякова А. Б -- акт\3 Заявление в МТУ А40-246792-2025</t>
  </si>
  <si>
    <t>11_report (55).pdf</t>
  </si>
  <si>
    <t>Чек_10-09-2025_10677462254030325883.pdf</t>
  </si>
  <si>
    <t>12_report (55).pdf</t>
  </si>
  <si>
    <t>Чек_10-09-2025_10677462254029153276.pdf</t>
  </si>
  <si>
    <t>13_report (55).pdf</t>
  </si>
  <si>
    <t>Чек_10-09-2025_10677462254029964304.pdf</t>
  </si>
  <si>
    <t>14_report (55).pdf</t>
  </si>
  <si>
    <t>Чек_10-09-2025_10677462254029259082.pdf</t>
  </si>
  <si>
    <t>report (2).pdf</t>
  </si>
  <si>
    <t>Чек_12-03-2025_10673342253436263847.pdf</t>
  </si>
  <si>
    <t>Чек_12-03-2025_10673342253436883888.pdf</t>
  </si>
  <si>
    <t>Чек_12-03-2025_10673342253436739256.pdf</t>
  </si>
  <si>
    <t>Чек_12-03-2025_10673342253436377745.pdf</t>
  </si>
  <si>
    <t>01_report (33).pdf</t>
  </si>
  <si>
    <t>01_report (34).pdf</t>
  </si>
  <si>
    <t>Чек_12-05-2025_10673342253486737222.pdf</t>
  </si>
  <si>
    <t>C:\Users\Logik\Documents\ИП Коротаев ОА\Архив Штрафы ИП КОА\1 ИЛ\_ИЛ нет\253 Е7 А40-117802-2025 Немова О. Ю. - мту\Доп Е7</t>
  </si>
  <si>
    <t>01_report (38).pdf</t>
  </si>
  <si>
    <t>Чек_18-02-2025_10673342253420510849.pdf</t>
  </si>
  <si>
    <t>C:\Users\Logik\Documents\ИП Коротаев ОА\Архив Штрафы ИП КОА\1 ИЛ\_ИЛ есть\166 Л1 А40-40657-2025 Вихарев АВ- ошибка СР мту\3 Заявление в МТУ А40-40657-2025</t>
  </si>
  <si>
    <t>02_report (33).pdf</t>
  </si>
  <si>
    <t>02_report (34).pdf</t>
  </si>
  <si>
    <t>02_report (38).pdf</t>
  </si>
  <si>
    <t>Чек_18-02-2025_10673342253420827126.pdf</t>
  </si>
  <si>
    <t>03_report (33).pdf</t>
  </si>
  <si>
    <t>Чек_14-02-2025_10673342253419085510.pdf</t>
  </si>
  <si>
    <t>C:\Users\Logik\Documents\ИП Коротаев ОА\Архив Штрафы ИП КОА\_новые 2026 на обработку\А42 А40-314414-2025 Поздняков В. Д. ЭЦП -</t>
  </si>
  <si>
    <t>03_report (34).pdf</t>
  </si>
  <si>
    <t>Чек_12-05-2025_10673342253486845211.pdf</t>
  </si>
  <si>
    <t>04_report (33).pdf</t>
  </si>
  <si>
    <t>04_report (34).pdf</t>
  </si>
  <si>
    <t>Чек_12-05-2025_10673342253485537793.pdf</t>
  </si>
  <si>
    <t>C:\Users\Logik\Documents\ИП Коротаев ОА\Архив Штрафы ИП КОА\1 ИЛ\_ИЛ нет\251 Е6 А40-111510-2025 Кукина С. М. + мту\Дополнительно Е6</t>
  </si>
  <si>
    <t>05_report (33).pdf</t>
  </si>
  <si>
    <t>05_report (34).pdf</t>
  </si>
  <si>
    <t>Чек_12-05-2025_10673342253486486677.pdf</t>
  </si>
  <si>
    <t>06_report (33).pdf</t>
  </si>
  <si>
    <t>Чек_14-02-2025_10673342253419066540.pdf</t>
  </si>
  <si>
    <t>06_report (34).pdf</t>
  </si>
  <si>
    <t>Чек_12-05-2025_10673342253485765176.pdf</t>
  </si>
  <si>
    <t>07_report (33).pdf</t>
  </si>
  <si>
    <t>07_report (34).pdf</t>
  </si>
  <si>
    <t>Чек_12-05-2025_10673342253485506480.pdf</t>
  </si>
  <si>
    <t>08_report (34).pdf</t>
  </si>
  <si>
    <t>09_report (34).pdf</t>
  </si>
  <si>
    <t>report (14).pdf</t>
  </si>
  <si>
    <t>Чек_12-03-2025_10673342253437634628.pdf</t>
  </si>
  <si>
    <t>report (15).pdf</t>
  </si>
  <si>
    <t>01_report - 2025-08-15T132921.867 (1).pdf</t>
  </si>
  <si>
    <t>Чек_15-08-2025_10677462254018656433.pdf</t>
  </si>
  <si>
    <t>C:\Users\Logik\Documents\ИП Коротаев ОА\Архив Штрафы ИП КОА\1 ИЛ\335 Т4 А40-222672-2025 Ваганова Е. А - мту\3 Заявление в МТУ А40-222672-2025</t>
  </si>
  <si>
    <t>01_report - 2025-11-13T155651.125 (1).pdf</t>
  </si>
  <si>
    <t>Чек_11-08-2025_10677462254015604068.pdf</t>
  </si>
  <si>
    <t>C:\Users\Logik\Documents\ИП Коротаев ОА\Архив Штрафы ИП КОА\1 ИЛ\_ИЛ нет\+ 333 Т2 А40-222668-2025 Поздняков В. Д -- мту\3 Заявление в МТУ А40-222668-2025</t>
  </si>
  <si>
    <t>01_report - 2025-11-13T155651.125.pdf</t>
  </si>
  <si>
    <t>01_report - 2025-11-14T132559.402.pdf</t>
  </si>
  <si>
    <t>Чек_21-08-2025_10677462254021233645.pdf</t>
  </si>
  <si>
    <t>C:\Users\Logik\Documents\ИП Коротаев ОА\Архив Штрафы ИП КОА\1 ИЛ\+ 338 Т6 А40-226709-2025 Аксенова Е. А мту\3 Заявление в МТУ А40-226709-2025</t>
  </si>
  <si>
    <t>01_штрафы.pdf</t>
  </si>
  <si>
    <t>Чек_04-09-2025_10677462254028714290.pdf</t>
  </si>
  <si>
    <t>C:\Users\Logik\Documents\ИП Коротаев ОА\Архив Штрафы ИП КОА\1 ИЛ\344 У5  А40-236747-2025 Полякова А. Б - акт\3 Заявление в МТУ А40-236747-2025</t>
  </si>
  <si>
    <t>02_report - 2025-08-15T132921.867 (1).pdf</t>
  </si>
  <si>
    <t>Чек_15-08-2025_10677462254017364483.pdf</t>
  </si>
  <si>
    <t>C:\Users\Logik\Documents\ИП Коротаев ОА\Архив Штрафы ИП КОА\1 ИЛ\334 Т3 А40-222670-2025 Папелишвили Г. Н -мту\3 Заявление в МТУ А40-222670-2025</t>
  </si>
  <si>
    <t>02_report - 2025-11-13T155651.125 (1).pdf</t>
  </si>
  <si>
    <t>Чек_11-08-2025_10677462254015322518.pdf</t>
  </si>
  <si>
    <t>02_report - 2025-11-13T155651.125.pdf</t>
  </si>
  <si>
    <t>02_report - 2025-11-14T132559.402.pdf</t>
  </si>
  <si>
    <t>02_штрафы.pdf</t>
  </si>
  <si>
    <t>Чек_04-09-2025_10677462254027311788.pdf</t>
  </si>
  <si>
    <t>03_report - 2025-08-15T132921.867 (1).pdf</t>
  </si>
  <si>
    <t>Чек_15-08-2025_10677462254018091592.pdf</t>
  </si>
  <si>
    <t>03_штрафы.pdf</t>
  </si>
  <si>
    <t>Чек_04-09-2025_10677462254027536097.pdf</t>
  </si>
  <si>
    <t>04_report - 2025-08-15T132921.867 (1).pdf</t>
  </si>
  <si>
    <t>Чек_15-08-2025_10677462254017738320.pdf</t>
  </si>
  <si>
    <t>04_штрафы.pdf</t>
  </si>
  <si>
    <t>Чек_04-09-2025_10677462254028156778.pdf</t>
  </si>
  <si>
    <t>05_report - 2025-08-15T132921.867 (1).pdf</t>
  </si>
  <si>
    <t>Чек_15-08-2025_10677462254017642811.pdf</t>
  </si>
  <si>
    <t>06_report - 2025-08-15T132921.867 (1).pdf</t>
  </si>
  <si>
    <t>Чек_15-08-2025_10677462254017322094.pdf</t>
  </si>
  <si>
    <t>report (25).pdf</t>
  </si>
  <si>
    <t>Чек_13-03-2025_10673342253439274734.pdf</t>
  </si>
  <si>
    <t>Чек_13-03-2025_10673342253438628389.pdf</t>
  </si>
  <si>
    <t>C:\Users\Logik\Documents\ИП Коротаев ОА\Архив Штрафы ИП КОА\1 ИЛ\_ИЛ есть\188 А8 А40-61470-2025 Сизова О. В. мту\3 Заявление в МТУ А40-61470-2025</t>
  </si>
  <si>
    <t>Чек_13-03-2025_10673342253439264909.pdf</t>
  </si>
  <si>
    <t>Чек_13-03-2025_10673342253438644945.pdf</t>
  </si>
  <si>
    <t>Чек_13-03-2025_10673342253438619606.pdf</t>
  </si>
  <si>
    <t>Чек_14-04-2025_10673342253464186142.pdf</t>
  </si>
  <si>
    <t>C:\Users\Logik\Documents\ИП Коротаев ОА\Архив Штрафы ИП КОА\1 ИЛ\_ИЛ есть\228 Р1 А40-97220-2025 Вихарев А. В мту\3 Заявление в МТУ А40-97220-2025</t>
  </si>
  <si>
    <t>report (11).pdf</t>
  </si>
  <si>
    <t>Чек_14-04-2025_10673342253464077335.pdf</t>
  </si>
  <si>
    <t>report (12).pdf</t>
  </si>
  <si>
    <t>Чек_14-04-2025_10673342253463623778.pdf</t>
  </si>
  <si>
    <t>Чек_14-04-2025_10673342253464259255.pdf</t>
  </si>
  <si>
    <t>Чек_14-04-2025_10673342253464796498.pdf</t>
  </si>
  <si>
    <t>Чек_14-04-2025_10673342253465123268.pdf</t>
  </si>
  <si>
    <t>Чек_14-04-2025_10673342253464818688.pdf</t>
  </si>
  <si>
    <t>01_report (46).pdf</t>
  </si>
  <si>
    <t>Чек_13-05-2025_10673342253490522308.pdf</t>
  </si>
  <si>
    <t>C:\Users\Logik\Documents\ИП Коротаев ОА\Архив Штрафы ИП КОА\1 ИЛ\_ИЛ нет\257 И2 А40-117925-2025 Кукина С. М. --Э мту\Доп И2</t>
  </si>
  <si>
    <t>02_report (46).pdf</t>
  </si>
  <si>
    <t>Чек_13-05-2025_10673342253490965064.pdf</t>
  </si>
  <si>
    <t>C:\Users\Logik\Documents\ИП Коротаев ОА\Архив Штрафы ИП КОА\1 ИЛ\_ИЛ нет\258 И3 А40-117937-2025 Полякова А. Б. --Э мту\Доп И3</t>
  </si>
  <si>
    <t>03_report (46).pdf</t>
  </si>
  <si>
    <t>Чек_13-05-2025_10673342253490920338.pdf</t>
  </si>
  <si>
    <t>04_report (46).pdf</t>
  </si>
  <si>
    <t>Чек_13-05-2025_10673342253490214182.pdf</t>
  </si>
  <si>
    <t>05_report (46).pdf</t>
  </si>
  <si>
    <t>Чек_13-05-2025_10673342253490704554.pdf</t>
  </si>
  <si>
    <t>06_report (46).pdf</t>
  </si>
  <si>
    <t>Чек_13-05-2025_10673342253490663351.pdf</t>
  </si>
  <si>
    <t>07_report (46).pdf</t>
  </si>
  <si>
    <t>Чек_13-05-2025_10673342253490139016.pdf</t>
  </si>
  <si>
    <t>C:\Users\Logik\Documents\ИП Коротаев ОА\Архив Штрафы ИП КОА\1 ИЛ\_ИЛ есть\256 И1 А40-117915-2025 Ваганова Е. А. --Э мту\Доп И1</t>
  </si>
  <si>
    <t>08_report (46).pdf</t>
  </si>
  <si>
    <t>Чек_13-05-2025_10673342253490150257.pdf</t>
  </si>
  <si>
    <t>09_report (46).pdf</t>
  </si>
  <si>
    <t>Чек_13-05-2025_10673342253489671591.pdf</t>
  </si>
  <si>
    <t>10_report (46).pdf</t>
  </si>
  <si>
    <t>Чек_13-05-2025_10673342253489940703.pdf</t>
  </si>
  <si>
    <t>11_report (46).pdf</t>
  </si>
  <si>
    <t>Чек_13-05-2025_10673342253489896429.pdf</t>
  </si>
  <si>
    <t>12_report (46).pdf</t>
  </si>
  <si>
    <t>Чек_13-05-2025_10673342253488491115.pdf</t>
  </si>
  <si>
    <t>C:\Users\Logik\Documents\ИП Коротаев ОА\Архив Штрафы ИП КОА\1 ИЛ\_ИЛ есть\255 Е9 А40-117897-2025 Ваганова Е. А. --Э мту\Доп Е9</t>
  </si>
  <si>
    <t>13_report (46).pdf</t>
  </si>
  <si>
    <t>Чек_13-05-2025_10673342253488987811.pdf</t>
  </si>
  <si>
    <t>14_report (46).pdf</t>
  </si>
  <si>
    <t>Чек_13-05-2025_10673342253488959362.pdf</t>
  </si>
  <si>
    <t>15_report (46).pdf</t>
  </si>
  <si>
    <t>16_report (46).pdf</t>
  </si>
  <si>
    <t>Чек_13-05-2025_10673342253488357958.pdf</t>
  </si>
  <si>
    <t>17_report (46).pdf</t>
  </si>
  <si>
    <t>Чек_13-05-2025_10673342253491112723.pdf</t>
  </si>
  <si>
    <t>18_report (46).pdf</t>
  </si>
  <si>
    <t>Чек_13-05-2025_10673342253491536345.pdf</t>
  </si>
  <si>
    <t>C:\Users\Logik\Documents\ИП Коротаев ОА\Архив Штрафы ИП КОА\1 ИЛ\_ИЛ есть\260 И4 А40-121051-2025 Дейна Н. В. -- мту\3 Заявление в МТУ А40-121051-2025</t>
  </si>
  <si>
    <t>01_report - 2025-07-14T114103.514.pdf</t>
  </si>
  <si>
    <t>Чек_14-07-2025_10673342253443440236.pdf</t>
  </si>
  <si>
    <t>C:\Users\Logik\Documents\ИП Коротаев ОА\Архив Штрафы ИП КОА\1 ИЛ\- 308 О8 А40-180890-2025 Немова О. Ю. --  мту\3 Заявление в МТУ А40-180890-2025</t>
  </si>
  <si>
    <t>02_report - 2025-07-14T114103.514.pdf</t>
  </si>
  <si>
    <t>Чек_14-07-2025_10673342253441443173.pdf</t>
  </si>
  <si>
    <t>C:\Users\Logik\Documents\ИП Коротаев ОА\Архив Штрафы ИП КОА\1 ИЛ\307 О7 А40-180879-2025 Ласкина С. О. -- мту\3 Заявление в МТУ А40-180879-2025</t>
  </si>
  <si>
    <t>03_report - 2025-07-14T114103.514.pdf</t>
  </si>
  <si>
    <t>Чек_14-07-2025_10673342253441232342.pdf</t>
  </si>
  <si>
    <t>04_report - 2025-07-14T114103.514.pdf</t>
  </si>
  <si>
    <t>Чек_14-07-2025_10673342253442080481.pdf</t>
  </si>
  <si>
    <t>05_report - 2025-07-14T114103.514.pdf</t>
  </si>
  <si>
    <t>Чек_14-07-2025_10673342253443940603.pdf</t>
  </si>
  <si>
    <t>06_report - 2025-07-14T114103.514.pdf</t>
  </si>
  <si>
    <t>Чек_14-07-2025_10673342253441598657.pdf</t>
  </si>
  <si>
    <t>07_report - 2025-07-14T114103.514.pdf</t>
  </si>
  <si>
    <t>Чек_14-07-2025_10673342253443416084.pdf</t>
  </si>
  <si>
    <t>08_report - 2025-07-14T114103.514.pdf</t>
  </si>
  <si>
    <t>Чек_14-07-2025_10673342253444439959.pdf</t>
  </si>
  <si>
    <t>C:\Users\Logik\Documents\ИП Коротаев ОА\Архив Штрафы ИП КОА\1 ИЛ\309 П0 А40-197053-2025 Харламов А. О. -- мту\3 Заявление в МТУ А40-197053-2025</t>
  </si>
  <si>
    <t>09_report - 2025-07-14T114103.514.pdf</t>
  </si>
  <si>
    <t>Чек_14-07-2025_10673342253443391588.pdf</t>
  </si>
  <si>
    <t>01_Штрафы.pdf</t>
  </si>
  <si>
    <t>Чек_11-06-2025_10673342253412677625.pdf</t>
  </si>
  <si>
    <t>C:\Users\Logik\Documents\ИП Коротаев ОА\Архив Штрафы ИП КОА\1 ИЛ\_ИЛ нет\281 Л5 А40-148308-2025 Полякова А. Б. -- мту\3 Заявление в МТУ А40-148308-2025</t>
  </si>
  <si>
    <t>02_Штрафы.pdf</t>
  </si>
  <si>
    <t>Чек_11-06-2025_10673342253412577809.pdf</t>
  </si>
  <si>
    <t>03_Штрафы.pdf</t>
  </si>
  <si>
    <t>Чек_11-06-2025_10673342253411891690.pdf</t>
  </si>
  <si>
    <t>C:\Users\Logik\Documents\ИП Коротаев ОА\Архив Штрафы ИП КОА\1 ИЛ\280 Л4 А40-147925-2025 Полякова А. Б. -- мту\3 Заявление в МТУ А40-147925-2025</t>
  </si>
  <si>
    <t>04_Штрафы.pdf</t>
  </si>
  <si>
    <t>Чек_11-06-2025_10673342253411217779.pdf</t>
  </si>
  <si>
    <t>05_Штрафы.pdf</t>
  </si>
  <si>
    <t>Чек_11-06-2025_10673342253412098463.pdf</t>
  </si>
  <si>
    <t>06_Штрафы.pdf</t>
  </si>
  <si>
    <t>Чек_11-06-2025_10673342253411451585.pdf</t>
  </si>
  <si>
    <t>07_Штрафы.pdf</t>
  </si>
  <si>
    <t>Чек_11-06-2025_10673342253412278163.pdf</t>
  </si>
  <si>
    <t>08_Штрафы.pdf</t>
  </si>
  <si>
    <t>Чек_11-06-2025_10673342253413997216.pdf</t>
  </si>
  <si>
    <t>C:\Users\Logik\Documents\ИП Коротаев ОА\Архив Штрафы ИП КОА\1 ИЛ\_ИЛ нет\282 Л6  А40-148381-2025 Полякова А. Б. --мту\3 Заявление в МТУ А40-148381-2025</t>
  </si>
  <si>
    <t>09_Штрафы.pdf</t>
  </si>
  <si>
    <t>Чек_11-06-2025_10673342253414725228.pdf</t>
  </si>
  <si>
    <t>C:\Users\Logik\Documents\ИП Коротаев ОА\Архив Штрафы ИП КОА\1 ИЛ\_ИЛ есть\283 Л7 А40-148514-2025 Махлаева Т. И. -- мту\3 Заявление в МТУ А40-148514-2025</t>
  </si>
  <si>
    <t>10_Штрафы.pdf</t>
  </si>
  <si>
    <t>Чек_11-06-2025_10673342253414328180.pdf</t>
  </si>
  <si>
    <t>11_Штрафы.pdf</t>
  </si>
  <si>
    <t>Чек_11-06-2025_10673342253414133886.pdf</t>
  </si>
  <si>
    <t>12_Штрафы.pdf</t>
  </si>
  <si>
    <t>Чек_11-06-2025_10673342253413858372.pdf</t>
  </si>
  <si>
    <t>13_Штрафы.pdf</t>
  </si>
  <si>
    <t>Чек_11-06-2025_10673342253416604800.pdf</t>
  </si>
  <si>
    <t>C:\Users\Logik\Documents\ИП Коротаев ОА\Архив Штрафы ИП КОА\1 ИЛ\285 Л9 А40-153914-2025 Харламов А. О. -- мту\3 Заявление в МТУ А40-153914-2025</t>
  </si>
  <si>
    <t>14_Штрафы.pdf</t>
  </si>
  <si>
    <t>Чек_11-06-2025_10673342253413396476.pdf</t>
  </si>
  <si>
    <t>15_Штрафы.pdf</t>
  </si>
  <si>
    <t>Чек_11-06-2025_10673342253416629188.pdf</t>
  </si>
  <si>
    <t>16_Штрафы.pdf</t>
  </si>
  <si>
    <t>Чек_11-06-2025_10673342253415683436.pdf</t>
  </si>
  <si>
    <t>C:\Users\Logik\Documents\ИП Коротаев ОА\Архив Штрафы ИП КОА\1 ИЛ\_ИЛ есть\284 Л8 А40-149117-2025 Вихарев А. В. -- мту\3 Заявление в МТУ А40-149117-2025</t>
  </si>
  <si>
    <t>17_Штрафы.pdf</t>
  </si>
  <si>
    <t>Чек_11-06-2025_10673342253416217998.pdf</t>
  </si>
  <si>
    <t>18_Штрафы.pdf</t>
  </si>
  <si>
    <t>Чек_11-06-2025_10673342253416188424.pdf</t>
  </si>
  <si>
    <t>19_Штрафы.pdf</t>
  </si>
  <si>
    <t>Чек_11-06-2025_10673342253415911513.pdf</t>
  </si>
  <si>
    <t>20_Штрафы.pdf</t>
  </si>
  <si>
    <t>Чек_11-06-2025_10673342253415669542.pdf</t>
  </si>
  <si>
    <t>report (61).pdf</t>
  </si>
  <si>
    <t>Чек_18-03-2025_10673342253441404585.pdf</t>
  </si>
  <si>
    <t>C:\Users\Logik\Documents\ИП Коротаев ОА\Архив Штрафы ИП КОА\1 ИЛ\_ИЛ есть\195 Б6 А40-70243-2025 Аксенова Е. А. мту\3 Заявление в МТУ А40-70243-2025</t>
  </si>
  <si>
    <t>report (62).pdf</t>
  </si>
  <si>
    <t>Чек_18-03-2025_10673342253441536686.pdf</t>
  </si>
  <si>
    <t>report (63).pdf</t>
  </si>
  <si>
    <t>Чек_18-03-2025_10673342253441489459.pdf</t>
  </si>
  <si>
    <t>report (67).pdf</t>
  </si>
  <si>
    <t>Чек_18-03-2025_10673342253440685726.pdf</t>
  </si>
  <si>
    <t>C:\Users\Logik\Documents\ИП Коротаев ОА\Архив Штрафы ИП КОА\1 ИЛ\_ИЛ есть\194 Б4 А40-70066-2025 Аксенова Е. А мту\3 Заявление в МТУ А40-70066-2025</t>
  </si>
  <si>
    <t>report (69).pdf</t>
  </si>
  <si>
    <t>Чек_18-03-2025_10673342253441121079.pdf</t>
  </si>
  <si>
    <t>Чек_18-03-2025_10673342253440612323.pdf</t>
  </si>
  <si>
    <t>Чек_18-03-2025_10673342253440648693.pdf</t>
  </si>
  <si>
    <t>report (73).pdf</t>
  </si>
  <si>
    <t>Чек_18-03-2025_10673342253440472854.pdf</t>
  </si>
  <si>
    <t>Чек_18-03-2025_10673342253440455887.pdf</t>
  </si>
  <si>
    <t>report (76).pdf</t>
  </si>
  <si>
    <t>report (77).pdf</t>
  </si>
  <si>
    <t>report (78).pdf</t>
  </si>
  <si>
    <t>report (79).pdf</t>
  </si>
  <si>
    <t>Чек_18-03-2025_10673342253441731527.pdf</t>
  </si>
  <si>
    <t>C:\Users\Logik\Documents\ИП Коротаев ОА\Архив Штрафы ИП КОА\1 ИЛ\_ИЛ есть\193 Б7 А40-70185-2025 Дейна Н. В - есть 93750 мту\3 Заявление в МТУ А40-70185-2025</t>
  </si>
  <si>
    <t>report (80).pdf</t>
  </si>
  <si>
    <t>Чек_18-03-2025_10673342253441865353.pdf</t>
  </si>
  <si>
    <t>report (81).pdf</t>
  </si>
  <si>
    <t>Чек_18-03-2025_10673342253441733287.pdf</t>
  </si>
  <si>
    <t>report (82).pdf</t>
  </si>
  <si>
    <t>Чек_18-03-2025_10673342253441606919.pdf</t>
  </si>
  <si>
    <t>report (83).pdf</t>
  </si>
  <si>
    <t>Чек_18-03-2025_10673342253441611602.pdf</t>
  </si>
  <si>
    <t>Scan20250318094152.pdf</t>
  </si>
  <si>
    <t>УИН не найден</t>
  </si>
  <si>
    <t>report (1).pdf</t>
  </si>
  <si>
    <t>01_report - 2025-06-18T104637.371.pdf</t>
  </si>
  <si>
    <t>Чек_16-06-2025_10673342253417137849.pdf</t>
  </si>
  <si>
    <t>01_report - 2025-07-17T143323.965.pdf</t>
  </si>
  <si>
    <t>Чек_17-07-2025_10673342253445340506.pdf</t>
  </si>
  <si>
    <t>02_report - 2025-06-18T104637.371.pdf</t>
  </si>
  <si>
    <t>Чек_16-06-2025_10673342253417031243.pdf</t>
  </si>
  <si>
    <t>02_report - 2025-07-17T143323.965.pdf</t>
  </si>
  <si>
    <t>Чек_17-07-2025_10673342253444740888.pdf</t>
  </si>
  <si>
    <t>03_report - 2025-06-18T104637.371.pdf</t>
  </si>
  <si>
    <t>Чек_16-06-2025_10673342253419445819.pdf</t>
  </si>
  <si>
    <t>C:\Users\Logik\Documents\ИП Коротаев ОА\Архив Штрафы ИП КОА\1 ИЛ\_ИЛ нет\288 М3 А40-154023-2025 Сизова О. В. -- мту\3 Заявление в МТУ А40-154023-2025</t>
  </si>
  <si>
    <t>03_report - 2025-07-17T143323.965.pdf</t>
  </si>
  <si>
    <t>Чек_17-07-2025_10673342253445804596.pdf</t>
  </si>
  <si>
    <t>C:\Users\Logik\Documents\ИП Коротаев ОА\Архив Штрафы ИП КОА\1 ИЛ\- 310 П1 А40-197258-2025 Сизова О. В. --  мту\3 Заявление в МТУ А40-197258-2025</t>
  </si>
  <si>
    <t>04_report - 2025-06-18T104637.371.pdf</t>
  </si>
  <si>
    <t>Чек_16-06-2025_10673342253418913274.pdf</t>
  </si>
  <si>
    <t>C:\Users\Logik\Documents\ИП Коротаев ОА\Архив Штрафы ИП КОА\1 ИЛ\_ИЛ нет\287 М2 А40-153979-2025 Полякова А. Б. --мту\3 Заявление в МТУ А40-153979-2025</t>
  </si>
  <si>
    <t>04_report - 2025-07-17T143323.965.pdf</t>
  </si>
  <si>
    <t>Чек_17-07-2025_10677462254000323580.pdf</t>
  </si>
  <si>
    <t>C:\Users\Logik\Documents\ИП Коротаев ОА\Архив Штрафы ИП КОА\1 ИЛ\311 П2 А40-197024-2025 Немова О. Ю. -- мту\3 Заявление в МТУ А40-197024-2025</t>
  </si>
  <si>
    <t>05_report - 2025-06-18T104637.371.pdf</t>
  </si>
  <si>
    <t>Чек_16-06-2025_10673342253419298999.pdf</t>
  </si>
  <si>
    <t>05_report - 2025-07-17T143323.965.pdf</t>
  </si>
  <si>
    <t>Чек_17-07-2025_10673342253444734500.pdf</t>
  </si>
  <si>
    <t>06_report - 2025-06-18T104637.371.pdf</t>
  </si>
  <si>
    <t>Чек_16-06-2025_10673342253419060402.pdf</t>
  </si>
  <si>
    <t>06_report - 2025-07-17T143323.965.pdf</t>
  </si>
  <si>
    <t>Чек_17-07-2025_10673342253445616455.pdf</t>
  </si>
  <si>
    <t>07_report - 2025-06-18T104637.371.pdf</t>
  </si>
  <si>
    <t>Чек_16-06-2025_10673342253418645598.pdf</t>
  </si>
  <si>
    <t>07_report - 2025-07-17T143323.965.pdf</t>
  </si>
  <si>
    <t>Чек_17-07-2025_10677462254000748131.pdf</t>
  </si>
  <si>
    <t>08_report - 2025-06-18T104637.371.pdf</t>
  </si>
  <si>
    <t>Чек_16-06-2025_10673342253418710217.pdf</t>
  </si>
  <si>
    <t>08_report - 2025-07-17T143323.965.pdf</t>
  </si>
  <si>
    <t>Чек_17-07-2025_10677462254001201446.pdf</t>
  </si>
  <si>
    <t>09_report - 2025-06-18T104637.371.pdf</t>
  </si>
  <si>
    <t>Чек_16-06-2025_10673342253418405155.pdf</t>
  </si>
  <si>
    <t>09_report - 2025-07-17T143323.965.pdf</t>
  </si>
  <si>
    <t>Чек_17-07-2025_10677462254000299140.pdf</t>
  </si>
  <si>
    <t>10_report - 2025-06-18T104637.371.pdf</t>
  </si>
  <si>
    <t>Чек_16-06-2025_10673342253417368710.pdf</t>
  </si>
  <si>
    <t>C:\Users\Logik\Documents\ИП Коротаев ОА\Архив Штрафы ИП КОА\1 ИЛ\286 М1 А40-153929-2025 Аксенова Е. А. -- мту\3 Заявление в МТУ А40-153929-2025</t>
  </si>
  <si>
    <t>10_report - 2025-07-17T143323.965.pdf</t>
  </si>
  <si>
    <t>Чек_17-07-2025_10677462254002064760.pdf</t>
  </si>
  <si>
    <t>11_report - 2025-06-18T104637.371.pdf</t>
  </si>
  <si>
    <t>Чек_16-06-2025_10673342253417280286.pdf</t>
  </si>
  <si>
    <t>11_report - 2025-07-17T143323.965.pdf</t>
  </si>
  <si>
    <t>Чек_17-07-2025_10677462254002039162.pdf</t>
  </si>
  <si>
    <t>12_report - 2025-06-18T104637.371.pdf</t>
  </si>
  <si>
    <t>Чек_16-06-2025_10673342253417350306.pdf</t>
  </si>
  <si>
    <t>12_report - 2025-07-17T143323.965.pdf</t>
  </si>
  <si>
    <t>Чек_17-07-2025_10677462254000221018.pdf</t>
  </si>
  <si>
    <t>13_report - 2025-06-18T104637.371.pdf</t>
  </si>
  <si>
    <t>Чек_16-06-2025_10673342253417294492.pdf</t>
  </si>
  <si>
    <t>13_report - 2025-07-17T143323.965.pdf</t>
  </si>
  <si>
    <t>Чек_17-07-2025_10677462254000805364.pdf</t>
  </si>
  <si>
    <t>14_report - 2025-06-18T104637.371.pdf</t>
  </si>
  <si>
    <t>Чек_18-06-2025_10673342253421298291.pdf</t>
  </si>
  <si>
    <t>C:\Users\Logik\Documents\ИП Коротаев ОА\Архив Штрафы ИП КОА\1 ИЛ\+ 289 М4 А40-153947-2025 Полякова А. Б. -- мту\3 Заявление в МТУ А40-153947-2025</t>
  </si>
  <si>
    <t>15_report - 2025-06-18T104637.371.pdf</t>
  </si>
  <si>
    <t>Чек_18-06-2025_10673342253420218057.pdf</t>
  </si>
  <si>
    <t>16_report - 2025-06-18T104637.371.pdf</t>
  </si>
  <si>
    <t>Чек_18-06-2025_10673342253420660752.pdf</t>
  </si>
  <si>
    <t>17_report - 2025-06-18T104637.371.pdf</t>
  </si>
  <si>
    <t>Чек_18-06-2025_10673342253419919993.pdf</t>
  </si>
  <si>
    <t>18_report - 2025-06-18T104637.371.pdf</t>
  </si>
  <si>
    <t>Чек_18-06-2025_10673342253420053392.pdf</t>
  </si>
  <si>
    <t>01_report (20).pdf</t>
  </si>
  <si>
    <t>Чек_28-08-2025_10677462254023624420.pdf</t>
  </si>
  <si>
    <t>C:\Users\Logik\Documents\ИП Коротаев ОА\Архив Штрафы ИП КОА\1 ИЛ\+ 341 У1  А40-236721-2025 Полякова А. Б -- акт\3 Заявление в МТУ А40-236721-2025</t>
  </si>
  <si>
    <t>01_report (27).pdf</t>
  </si>
  <si>
    <t>01_report (29).pdf</t>
  </si>
  <si>
    <t>Чек_01-09-2025_10677462254027156099.pdf</t>
  </si>
  <si>
    <t>C:\Users\Logik\Documents\ИП Коротаев ОА\Архив Штрафы ИП КОА\1 ИЛ\345 У4 А40-236736-2025 Полякова А. Б -- акт\3 Заявление в МТУ А40-236736-2025</t>
  </si>
  <si>
    <t>01_report - 2025-08-14T082825.300 (2).pdf</t>
  </si>
  <si>
    <t>Чек_13-08-2025_10677462254016416559.pdf</t>
  </si>
  <si>
    <t>01_report - 2025-08-18T161944.721.pdf</t>
  </si>
  <si>
    <t>Чек_18-08-2025_10677462254018922451.pdf</t>
  </si>
  <si>
    <t>01_report - 2025-08-20T123747.477.pdf</t>
  </si>
  <si>
    <t>02_report (20).pdf</t>
  </si>
  <si>
    <t>Чек_28-08-2025_10677462254025110343.pdf</t>
  </si>
  <si>
    <t>02_report (27).pdf</t>
  </si>
  <si>
    <t>02_report (29).pdf</t>
  </si>
  <si>
    <t>Чек_01-09-2025_10677462254026958052.pdf</t>
  </si>
  <si>
    <t>02_report - 2025-08-14T082825.300 (2).pdf</t>
  </si>
  <si>
    <t>Чек_13-08-2025_10677462254016198675.pdf</t>
  </si>
  <si>
    <t>02_report - 2025-08-18T161944.721.pdf</t>
  </si>
  <si>
    <t>02_report - 2025-08-20T123747.477.pdf</t>
  </si>
  <si>
    <t>03_report (20).pdf</t>
  </si>
  <si>
    <t>Чек_28-08-2025_10677462254024876555.pdf</t>
  </si>
  <si>
    <t>03_report (27).pdf</t>
  </si>
  <si>
    <t>03_report (29).pdf</t>
  </si>
  <si>
    <t>Чек_01-09-2025_10677462254027055820.pdf</t>
  </si>
  <si>
    <t>03_report - 2025-08-14T082825.300 (2).pdf</t>
  </si>
  <si>
    <t>Чек_13-08-2025_10677462254016285578.pdf</t>
  </si>
  <si>
    <t>03_report - 2025-08-18T161944.721.pdf</t>
  </si>
  <si>
    <t>Чек_18-08-2025_10677462254018881143.pdf</t>
  </si>
  <si>
    <t>04_report (20).pdf</t>
  </si>
  <si>
    <t>Чек_28-08-2025_10677462254024146212.pdf</t>
  </si>
  <si>
    <t>04_report (27).pdf</t>
  </si>
  <si>
    <t>04_report (29).pdf</t>
  </si>
  <si>
    <t>Чек_01-09-2025_10677462254026952852.pdf</t>
  </si>
  <si>
    <t>04_report - 2025-08-18T161944.721.pdf</t>
  </si>
  <si>
    <t>05_report (20).pdf</t>
  </si>
  <si>
    <t>Чек_28-08-2025_10677462254024487311.pdf</t>
  </si>
  <si>
    <t>05_report (27).pdf</t>
  </si>
  <si>
    <t>06_report (27).pdf</t>
  </si>
  <si>
    <t>Чек_18-06-2025_10673342253422033607.pdf</t>
  </si>
  <si>
    <t>C:\Users\Logik\Documents\ИП Коротаев ОА\Архив Штрафы ИП КОА\1 ИЛ\_ИЛ есть\290 М5 А40-153960-2025 Дейна Н. В. -- мту\3 Заявление в МТУ А40-153960-2025</t>
  </si>
  <si>
    <t>07_report (27).pdf</t>
  </si>
  <si>
    <t>Чек_18-06-2025_10673342253421633090.pdf</t>
  </si>
  <si>
    <t>08_report (27).pdf</t>
  </si>
  <si>
    <t>Чек_18-06-2025_10673342253421907700.pdf</t>
  </si>
  <si>
    <t>09_report (27).pdf</t>
  </si>
  <si>
    <t>Чек_18-06-2025_10673342253421980807.pdf</t>
  </si>
  <si>
    <t>report (90).pdf</t>
  </si>
  <si>
    <t>report (91).pdf</t>
  </si>
  <si>
    <t>report (92).pdf</t>
  </si>
  <si>
    <t>Чек_19-03-2025_10673342253442665347.pdf</t>
  </si>
  <si>
    <t>C:\Users\Logik\Documents\ИП Коротаев ОА\Архив Штрафы ИП КОА\1 ИЛ\_ИЛ есть\198 В1 А40-72213-2025 Ласкина С. О мту\3 Заявление в МТУ А40-72213-2025</t>
  </si>
  <si>
    <t>report (93).pdf</t>
  </si>
  <si>
    <t>Чек_19-03-2025_10673342253443041188.pdf</t>
  </si>
  <si>
    <t>report (94).pdf</t>
  </si>
  <si>
    <t>Чек_19-03-2025_10673342253442873219.pdf</t>
  </si>
  <si>
    <t>report (95).pdf</t>
  </si>
  <si>
    <t>report (96).pdf</t>
  </si>
  <si>
    <t>report (97).pdf</t>
  </si>
  <si>
    <t>report (98).pdf</t>
  </si>
  <si>
    <t>01_report (80).pdf</t>
  </si>
  <si>
    <t>Чек_20-05-2025_10673342253494414755.pdf</t>
  </si>
  <si>
    <t>C:\Users\Logik\Documents\ИП Коротаев ОА\Архив Штрафы ИП КОА\1 ИЛ\_ИЛ есть\263 И7 А40-121218-2025 Гилаев Д. А. -- мту\Доп И7</t>
  </si>
  <si>
    <t>02_report (80).pdf</t>
  </si>
  <si>
    <t>Чек_20-05-2025_10673342253494586700.pdf</t>
  </si>
  <si>
    <t>03_report (80).pdf</t>
  </si>
  <si>
    <t>04_report (80).pdf</t>
  </si>
  <si>
    <t>05_report (80).pdf</t>
  </si>
  <si>
    <t>06_report (80).pdf</t>
  </si>
  <si>
    <t>Чек_20-05-2025_10673342253492918632.pdf</t>
  </si>
  <si>
    <t>C:\Users\Logik\Documents\ИП Коротаев ОА\Архив ОТКАЗЫ Штрафы\А Повтор\А72 А40-341-2026 Папелишвили Г. Н</t>
  </si>
  <si>
    <t>07_report (80).pdf</t>
  </si>
  <si>
    <t>08_report (80).pdf</t>
  </si>
  <si>
    <t>Чек_20-05-2025_10673342253493048952.pdf</t>
  </si>
  <si>
    <t>09_report (80).pdf</t>
  </si>
  <si>
    <t>Чек_20-05-2025_10673342253492359048.pdf</t>
  </si>
  <si>
    <t>10_report (80).pdf</t>
  </si>
  <si>
    <t>Чек_20-05-2025_10673342253492897767.pdf</t>
  </si>
  <si>
    <t>C:\Users\Logik\Documents\ИП Коротаев ОА\Архив ОТКАЗЫ Штрафы\А Повтор\А71 А40-330-2026 Уточкин И. Н</t>
  </si>
  <si>
    <t>11_report (80).pdf</t>
  </si>
  <si>
    <t>Чек_20-05-2025_10673342253492772336.pdf</t>
  </si>
  <si>
    <t>12_report (80).pdf</t>
  </si>
  <si>
    <t>Чек_20-05-2025_10673342253495073234.pdf</t>
  </si>
  <si>
    <t>13_report (80).pdf</t>
  </si>
  <si>
    <t>Чек_20-05-2025_10673342253491915079.pdf</t>
  </si>
  <si>
    <t>14_report (80).pdf</t>
  </si>
  <si>
    <t>Чек_20-05-2025_10673342253491898948.pdf</t>
  </si>
  <si>
    <t>15_report (80).pdf</t>
  </si>
  <si>
    <t>Чек_20-05-2025_10673342253495666626.pdf</t>
  </si>
  <si>
    <t>16_report (80).pdf</t>
  </si>
  <si>
    <t>Чек_20-05-2025_10673342253495967456.pdf</t>
  </si>
  <si>
    <t>report (13).pdf</t>
  </si>
  <si>
    <t>Чек_20-02-2025_10673342253423406279.pdf</t>
  </si>
  <si>
    <t>C:\Users\Logik\Documents\ИП Коротаев ОА\Архив Штрафы ИП КОА\1 ИЛ\_ИЛ есть\170 уск Л3 А40-41323-2025 Немова О.Ю+ мту</t>
  </si>
  <si>
    <t>Чек_20-02-2025_10673342253423338290.pdf</t>
  </si>
  <si>
    <t>Чек_21-02-2025_10673342253423891542.pdf</t>
  </si>
  <si>
    <t>C:\Users\Logik\Documents\ИП Коротаев ОА\Архив Штрафы ИП КОА\_новые 2026 на обработку\А43 А40-314421-2025 Харламов А. О. ЭЦП -</t>
  </si>
  <si>
    <t>Чек_20-02-2025_10673342253421344366.pdf</t>
  </si>
  <si>
    <t>report (42).pdf</t>
  </si>
  <si>
    <t>report (43).pdf</t>
  </si>
  <si>
    <t>Чек_20-02-2025_10673342253421541994.pdf</t>
  </si>
  <si>
    <t>report (44).pdf</t>
  </si>
  <si>
    <t>Чек_20-02-2025_10673342253421268600.pdf</t>
  </si>
  <si>
    <t>Чек_25-02-2025_10673342253425617995.pdf</t>
  </si>
  <si>
    <t>C:\Users\Logik\Documents\ИП Коротаев ОА\Архив Штрафы ИП КОА\1 ИЛ\_ИЛ есть\173 Л7 А40-44226-2025 Кипель М. Т- жду СР мту\3 Заявление в МТУ А40-44226-2025</t>
  </si>
  <si>
    <t>Чек_25-02-2025_10673342253425206464.pdf</t>
  </si>
  <si>
    <t>Чек_25-02-2025_10673342253425448190.pdf</t>
  </si>
  <si>
    <t>Чек_25-02-2025_10673342253425382068.pdf</t>
  </si>
  <si>
    <t>Чек_25-02-2025_10673342253425522633.pdf</t>
  </si>
  <si>
    <t>report (57).pdf</t>
  </si>
  <si>
    <t>report (58).pdf</t>
  </si>
  <si>
    <t>report (59).pdf</t>
  </si>
  <si>
    <t>Чек_20-02-2025_10673342253423301018.pdf</t>
  </si>
  <si>
    <t>Чек_27-02-2025_10673342253428991154.pdf</t>
  </si>
  <si>
    <t>C:\Users\Logik\Documents\ИП Коротаев ОА\Архив Штрафы ИП КОА\1 ИЛ\_ИЛ есть\178 уск Л10 А40-49314-2025 Немова О.Ю+мту</t>
  </si>
  <si>
    <t>Чек_20-02-2025_10673342253422960443.pdf</t>
  </si>
  <si>
    <t>report (70).pdf</t>
  </si>
  <si>
    <t>Чек_27-02-2025_10673342253427859838.pdf</t>
  </si>
  <si>
    <t>C:\Users\Logik\Documents\ИП Коротаев ОА\Архив Штрафы ИП КОА\1 ИЛ\_ИЛ есть\178 уск Л10 А40-49314-2025 Немова О.Ю+мту\горбатый</t>
  </si>
  <si>
    <t>Чек_27-02-2025_10673342253427946406.pdf</t>
  </si>
  <si>
    <t>Чек_27-02-2025_10673342253428424381.pdf</t>
  </si>
  <si>
    <t>Чек_27-02-2025_10673342253427937172.pdf</t>
  </si>
  <si>
    <t>Чек_27-02-2025_10673342253427226438.pdf</t>
  </si>
  <si>
    <t>C:\Users\Logik\Documents\ИП Коротаев ОА\Архив Штрафы ИП КОА\1 ИЛ\_ИЛ есть\177 Л9 А40-48596-2025 Нариманидзе Н. А. - СР мту\3 Заявление в МТУ А40-48596-2025</t>
  </si>
  <si>
    <t>Чек_27-02-2025_10673342253427163916.pdf</t>
  </si>
  <si>
    <t>Чек_27-02-2025_10673342253427890389.pdf</t>
  </si>
  <si>
    <t>Чек_27-02-2025_10673342253427140606.pdf</t>
  </si>
  <si>
    <t>Чек_27-02-2025_10673342253427118953.pdf</t>
  </si>
  <si>
    <t>Чек_20-02-2025_10673342253422467380.pdf</t>
  </si>
  <si>
    <t>Чек_05-03-2025_10673342253431241977.pdf</t>
  </si>
  <si>
    <t>C:\Users\Logik\Documents\ИП Коротаев ОА\Архив Штрафы ИП КОА\_новые 2026 на обработку\А44 А40-314470-2025 Поздняков В. Д. ЭЦП -</t>
  </si>
  <si>
    <t>Чек_05-03-2025_10673342253432260247.pdf</t>
  </si>
  <si>
    <t>C:\Users\Logik\Documents\ИП Коротаев ОА\Архив Штрафы ИП КОА\_новые 2026 на обработку\А45 А40-314475-2025 Гилаев Д. А. -</t>
  </si>
  <si>
    <t>Чек_05-03-2025_10673342253432303747.pdf</t>
  </si>
  <si>
    <t>Чек_11-03-2025_10673342253433984470.pdf</t>
  </si>
  <si>
    <t>01_report (91).pdf</t>
  </si>
  <si>
    <t>Чек_21-05-2025_10673342253497229940.pdf</t>
  </si>
  <si>
    <t>C:\Users\Logik\Documents\ИП Коротаев ОА\Архив ОТКАЗЫ Штрафы\А Повтор\А73 А40-344-2026 Ваганова Е. А</t>
  </si>
  <si>
    <t>02_report (91).pdf</t>
  </si>
  <si>
    <t>Чек_21-05-2025_10673342253496675262.pdf</t>
  </si>
  <si>
    <t>03_report (91).pdf</t>
  </si>
  <si>
    <t>Чек_21-05-2025_10673342253497223683.pdf</t>
  </si>
  <si>
    <t>04_report (91).pdf</t>
  </si>
  <si>
    <t>Чек_21-05-2025_10673342253496895513.pdf</t>
  </si>
  <si>
    <t>Чек_23-04-2025_10673342253472072428.pdf</t>
  </si>
  <si>
    <t>C:\Users\Logik\Documents\ИП Коротаев ОА\Архив Штрафы ИП КОА\1 ИЛ\_ИЛ нет\234 Р7 А40-97423-2025 Кипель М. Т мту\3 Заявление в МТУ А40-97423-2025</t>
  </si>
  <si>
    <t>Чек_23-04-2025_10673342253473169069.pdf</t>
  </si>
  <si>
    <t>Чек_23-04-2025_10673342253472440354.pdf</t>
  </si>
  <si>
    <t>Чек_23-04-2025_10673342253471375451.pdf</t>
  </si>
  <si>
    <t>C:\Users\Logik\Documents\ИП Коротаев ОА\Архив ОТКАЗЫ Штрафы\А Повтор\А69 А40-235-2026 Немова О. Ю -</t>
  </si>
  <si>
    <t>Чек_23-04-2025_10673342253472070735.pdf</t>
  </si>
  <si>
    <t>Чек_23-04-2025_10673342253471379759.pdf</t>
  </si>
  <si>
    <t>Чек_23-04-2025_10673342253471105284.pdf</t>
  </si>
  <si>
    <t>Чек_23-04-2025_10673342253471250284.pdf</t>
  </si>
  <si>
    <t>Чек_23-04-2025_10673342253474701384.pdf</t>
  </si>
  <si>
    <t>Чек_23-04-2025_10673342253475197795.pdf</t>
  </si>
  <si>
    <t>C:\Users\Logik\Documents\ИП Коротаев ОА\Архив ОТКАЗЫ Штрафы\А Повтор\А70 А40-259-2026 Сизова О. В -</t>
  </si>
  <si>
    <t>Чек_23-04-2025_10673342253475054692.pdf</t>
  </si>
  <si>
    <t>Чек_23-04-2025_10673342253474553822.pdf</t>
  </si>
  <si>
    <t>C:\Users\Logik\Documents\ИП Коротаев ОА\Архив Штрафы ИП КОА\1 ИЛ\_ИЛ нет\236 Р9 А40-101183-2025 Полякова А. Б. мту\Дополнение Р9</t>
  </si>
  <si>
    <t>Чек_23-04-2025_10673342253474463092.pdf</t>
  </si>
  <si>
    <t>Чек_23-04-2025_10673342253474614490.pdf</t>
  </si>
  <si>
    <t>Чек_23-04-2025_10673342253474225469.pdf</t>
  </si>
  <si>
    <t>Чек_23-04-2025_10673342253474354161.pdf</t>
  </si>
  <si>
    <t>01_report (98).pdf</t>
  </si>
  <si>
    <t>Чек_22-05-2025_10673342253497626508.pdf</t>
  </si>
  <si>
    <t>C:\Users\Logik\Documents\ИП Коротаев ОА\Архив ОТКАЗЫ Штрафы\А Повтор\А74 А40-136-2026 Девицкая Н. Е</t>
  </si>
  <si>
    <t>02_report (98).pdf</t>
  </si>
  <si>
    <t>Чек_22-05-2025_10673342253497533283.pdf</t>
  </si>
  <si>
    <t>03_report (98).pdf</t>
  </si>
  <si>
    <t>Чек_22-05-2025_10673342253497702557.pdf</t>
  </si>
  <si>
    <t>04_report (98).pdf</t>
  </si>
  <si>
    <t>Чек_22-05-2025_10673342253497691896.pdf</t>
  </si>
  <si>
    <t>05_report (98).pdf</t>
  </si>
  <si>
    <t>Чек_22-05-2025_10673342253498791723.pdf</t>
  </si>
  <si>
    <t>C:\Users\Logik\Documents\ИП Коротаев ОА\Архив Штрафы ИП КОА\1 ИЛ\_ИЛ нет\267 К2 А40-126087-2025 Девицкая Н. Е. --часть1 мту\Доп К2</t>
  </si>
  <si>
    <t>06_report (98).pdf</t>
  </si>
  <si>
    <t>Чек_22-05-2025_10673342253497803280.pdf</t>
  </si>
  <si>
    <t>C:\Users\Logik\Documents\ИП Коротаев ОА\Архив ОТКАЗЫ Штрафы\А Повтор</t>
  </si>
  <si>
    <t>07_report (98).pdf</t>
  </si>
  <si>
    <t>Чек_22-05-2025_10673342253497452666.pdf</t>
  </si>
  <si>
    <t>08_report (98).pdf</t>
  </si>
  <si>
    <t>Чек_22-05-2025_10673342253499232337.pdf</t>
  </si>
  <si>
    <t>09_report (98).pdf</t>
  </si>
  <si>
    <t>Чек_22-05-2025_10673342253498484308.pdf</t>
  </si>
  <si>
    <t>10_report (98).pdf</t>
  </si>
  <si>
    <t>Чек_22-05-2025_10673342253498455367.pdf</t>
  </si>
  <si>
    <t>11_report (98).pdf</t>
  </si>
  <si>
    <t>Чек_22-05-2025_10673342253498788404.pdf</t>
  </si>
  <si>
    <t>01_Платежки(1).pdf</t>
  </si>
  <si>
    <t>02_Платежки.pdf</t>
  </si>
  <si>
    <t>Чек_29-01-2025_10673342253410676818.pdf</t>
  </si>
  <si>
    <t>04_Платежки.pdf</t>
  </si>
  <si>
    <t>05_Платежки.pdf</t>
  </si>
  <si>
    <t>06_Платежки.pdf</t>
  </si>
  <si>
    <t>09_Платежки.pdf</t>
  </si>
  <si>
    <t>10_Платежки.pdf</t>
  </si>
  <si>
    <t>Чек_29-01-2025_10673342253411029786.pdf</t>
  </si>
  <si>
    <t>11_Платежки.pdf</t>
  </si>
  <si>
    <t>Чек_29-01-2025_10673342253410350491.pdf</t>
  </si>
  <si>
    <t>13_Платежки.pdf</t>
  </si>
  <si>
    <t>Чек_29-01-2025_10673342253410900513.pdf</t>
  </si>
  <si>
    <t>14_Платежки.pdf</t>
  </si>
  <si>
    <t>16_Платежки.pdf</t>
  </si>
  <si>
    <t>17_Платежки.pdf</t>
  </si>
  <si>
    <t>Чек_29-01-2025_10673342253410255642.pdf</t>
  </si>
  <si>
    <t>C:\Users\Logik\Documents\ИП Коротаев ОА\Архив Штрафы ИП КОА\А40 А40-314384-2025 Девицкая Н. Е. акт - 19.04.26</t>
  </si>
  <si>
    <t>18_Платежки.pdf</t>
  </si>
  <si>
    <t>19_Платежки.pdf</t>
  </si>
  <si>
    <t>01_report - 2025-06-23T150505.875.pdf</t>
  </si>
  <si>
    <t>Чек_23-06-2025_10673342253426254772.pdf</t>
  </si>
  <si>
    <t>C:\Users\Logik\Documents\ИП Коротаев ОА\Архив Штрафы ИП КОА\1 ИЛ\_ИЛ есть\294 Н3 А40-165370-2025 Ваганова Е. А. -- мту\3 Заявление в МТУ А40-165370-2025</t>
  </si>
  <si>
    <t>02_report - 2025-06-23T150505.875.pdf</t>
  </si>
  <si>
    <t>03_report - 2025-06-23T150505.875.pdf</t>
  </si>
  <si>
    <t>Чек_23-06-2025_10673342253425373891.pdf</t>
  </si>
  <si>
    <t>04_report - 2025-06-23T150505.875.pdf</t>
  </si>
  <si>
    <t>Чек_23-06-2025_10673342253426117619.pdf</t>
  </si>
  <si>
    <t>05_report - 2025-06-23T150505.875.pdf</t>
  </si>
  <si>
    <t>06_report - 2025-06-23T150505.875.pdf</t>
  </si>
  <si>
    <t>07_report - 2025-06-23T150505.875.pdf</t>
  </si>
  <si>
    <t>08_report - 2025-06-23T150505.875.pdf</t>
  </si>
  <si>
    <t>Чек_23-06-2025_10673342253423852008.pdf</t>
  </si>
  <si>
    <t>01_report - 2025-12-23T114640.278.pdf</t>
  </si>
  <si>
    <t>Чек_23-12-2025_10677462254059631257.pdf</t>
  </si>
  <si>
    <t>02_report - 2025-12-23T114640.278.pdf</t>
  </si>
  <si>
    <t>Чек_23-12-2025_10677462254059389162.pdf</t>
  </si>
  <si>
    <t>03_report - 2025-12-23T114640.278.pdf</t>
  </si>
  <si>
    <t>04_report - 2025-12-23T114640.278.pdf</t>
  </si>
  <si>
    <t>05_report - 2025-12-23T114640.278.pdf</t>
  </si>
  <si>
    <t>06_report - 2025-12-23T114640.278.pdf</t>
  </si>
  <si>
    <t>07_report - 2025-12-23T114640.278.pdf</t>
  </si>
  <si>
    <t>08_report - 2025-12-23T114640.278.pdf</t>
  </si>
  <si>
    <t>09_report - 2025-12-23T114640.278.pdf</t>
  </si>
  <si>
    <t>10_report - 2025-12-23T114640.278.pdf</t>
  </si>
  <si>
    <t>11_report - 2025-12-23T114640.278.pdf</t>
  </si>
  <si>
    <t>Чек_23-12-2025_10677462254058127229.pdf</t>
  </si>
  <si>
    <t>01_report - 2025-05-26T094820.213.pdf</t>
  </si>
  <si>
    <t>02_report - 2025-05-26T094820.213.pdf</t>
  </si>
  <si>
    <t>03_report - 2025-05-26T094820.213.pdf</t>
  </si>
  <si>
    <t>Чек_26-05-2025_10673342253499578039.pdf</t>
  </si>
  <si>
    <t>04_report - 2025-05-26T094820.213.pdf</t>
  </si>
  <si>
    <t>05_report - 2025-05-26T094820.213.pdf</t>
  </si>
  <si>
    <t>06_report - 2025-05-26T094820.213.pdf</t>
  </si>
  <si>
    <t>07_report - 2025-05-26T094820.213.pdf</t>
  </si>
  <si>
    <t>Чек_26-05-2025_10673342253400776812.pdf</t>
  </si>
  <si>
    <t>C:\Users\Logik\Documents\ИП Коротаев ОА\Архив Штрафы ИП КОА\1 ИЛ\269 К3 А40-135502-2025 Уточкин И. Н. мту\3 Заявление в МТУ А40-135502-2025</t>
  </si>
  <si>
    <t>08_report - 2025-05-26T094820.213.pdf</t>
  </si>
  <si>
    <t>09_report - 2025-05-26T094820.213.pdf</t>
  </si>
  <si>
    <t>10_report - 2025-05-26T094820.213.pdf</t>
  </si>
  <si>
    <t>Чек_26-05-2025_10673342253476635265.pdf</t>
  </si>
  <si>
    <t>01_report (11).pdf</t>
  </si>
  <si>
    <t>Чек_26-08-2025_10677462254021622099.pdf</t>
  </si>
  <si>
    <t>02_report (11).pdf</t>
  </si>
  <si>
    <t>Чек_26-08-2025_10677462254023477487.pdf</t>
  </si>
  <si>
    <t>03_report (11).pdf</t>
  </si>
  <si>
    <t>Чек_26-08-2025_10677462254021319663.pdf</t>
  </si>
  <si>
    <t>04_report (11).pdf</t>
  </si>
  <si>
    <t>Чек_26-08-2025_10677462254023278018.pdf</t>
  </si>
  <si>
    <t>05_report (11).pdf</t>
  </si>
  <si>
    <t>Чек_26-08-2025_10677462254023450945.pdf</t>
  </si>
  <si>
    <t>06_report (11).pdf</t>
  </si>
  <si>
    <t>Чек_26-08-2025_10677462254023280756.pdf</t>
  </si>
  <si>
    <t>07_report (11).pdf</t>
  </si>
  <si>
    <t>Чек_26-08-2025_10677462254022064936.pdf</t>
  </si>
  <si>
    <t>08_report (11).pdf</t>
  </si>
  <si>
    <t>Чек_26-08-2025_10677462254022690241.pdf</t>
  </si>
  <si>
    <t>09_report (11).pdf</t>
  </si>
  <si>
    <t>Чек_26-08-2025_10677462254022495589.pdf</t>
  </si>
  <si>
    <t>10_report (11).pdf</t>
  </si>
  <si>
    <t>Чек_26-08-2025_10677462254021831216.pdf</t>
  </si>
  <si>
    <t>11_report (11).pdf</t>
  </si>
  <si>
    <t>Чек_26-08-2025_10677462254022045947.pdf</t>
  </si>
  <si>
    <t>12_report (11).pdf</t>
  </si>
  <si>
    <t>Чек_26-08-2025_10677462254022018292.pdf</t>
  </si>
  <si>
    <t>13_report (11).pdf</t>
  </si>
  <si>
    <t>Чек_26-08-2025_10677462254023442853.pdf</t>
  </si>
  <si>
    <t>report - 2025-03-20T125934.951.pdf</t>
  </si>
  <si>
    <t>Чек_20-03-2025_10673342253443206918.pdf</t>
  </si>
  <si>
    <t>report - 2025-03-20T125950.552.pdf</t>
  </si>
  <si>
    <t>report - 2025-03-20T130007.359.pdf</t>
  </si>
  <si>
    <t>report - 2025-03-21T133450.538.pdf</t>
  </si>
  <si>
    <t>report - 2025-03-21T133506.296.pdf</t>
  </si>
  <si>
    <t>report - 2025-03-21T133520.748.pdf</t>
  </si>
  <si>
    <t>report - 2025-03-21T133544.535.pdf</t>
  </si>
  <si>
    <t>report - 2025-03-21T133602.808.pdf</t>
  </si>
  <si>
    <t>report - 2025-03-21T133659.753.pdf</t>
  </si>
  <si>
    <t>report - 2025-03-21T133716.338.pdf</t>
  </si>
  <si>
    <t>report - 2025-03-21T133737.386.pdf</t>
  </si>
  <si>
    <t>report - 2025-03-27T083451.000.pdf</t>
  </si>
  <si>
    <t>report - 2025-03-27T083508.727.pdf</t>
  </si>
  <si>
    <t>Чек_26-03-2025_10673342253448742354.pdf</t>
  </si>
  <si>
    <t>report - 2025-03-27T083532.392.pdf</t>
  </si>
  <si>
    <t>Чек_26-03-2025_10673342253449054893.pdf</t>
  </si>
  <si>
    <t>C:\Users\Logik\Documents\ИП Коротаев ОА\Архив Штрафы ИП КОА\1 ИЛ\_ИЛ есть\206 В9 А40-80097-2025 Аксенова Е. А мту\3 Заявление в МТУ А40-80097-2025</t>
  </si>
  <si>
    <t>report - 2025-03-27T083547.033.pdf</t>
  </si>
  <si>
    <t>report - 2025-03-27T083609.822.pdf</t>
  </si>
  <si>
    <t>report - 2025-03-27T083626.857.pdf</t>
  </si>
  <si>
    <t>Чек_26-03-2025_10673342253448779371.pdf</t>
  </si>
  <si>
    <t>report - 2025-03-27T083644.993.pdf</t>
  </si>
  <si>
    <t>Чек_26-03-2025_10673342253448924550.pdf</t>
  </si>
  <si>
    <t>report - 2025-03-27T083704.164.pdf</t>
  </si>
  <si>
    <t>Чек_26-03-2025_10673342253448900575.pdf</t>
  </si>
  <si>
    <t>01_report - 2025-05-27T102154.561.pdf</t>
  </si>
  <si>
    <t>02_report - 2025-05-27T102154.561.pdf</t>
  </si>
  <si>
    <t>Чек_27-05-2025_10673342253402733573.pdf</t>
  </si>
  <si>
    <t>C:\Users\Logik\Documents\ИП Коротаев ОА\Архив Штрафы ИП КОА\1 ИЛ\_ИЛ есть\271 К5 А40-135298-2025 Ваганова Е. А. мту\3 Заявление в МТУ А40-135298-2025</t>
  </si>
  <si>
    <t>03_report - 2025-05-27T102154.561.pdf</t>
  </si>
  <si>
    <t>Чек_27-05-2025_10673342253476635265.pdf</t>
  </si>
  <si>
    <t>04_report - 2025-05-27T102154.561.pdf</t>
  </si>
  <si>
    <t>Чек_27-05-2025_10673342253402194257.pdf</t>
  </si>
  <si>
    <t>C:\Users\Logik\Documents\ИП Коротаев ОА\Архив Штрафы ИП КОА\1 ИЛ\_ИЛ нет\270 К4 А40-135517-2025 Харламов А. О. мту\3 Заявление в МТУ А40-135517-2025</t>
  </si>
  <si>
    <t>05_report - 2025-05-27T102154.561.pdf</t>
  </si>
  <si>
    <t>Чек_27-05-2025_10673342253402715540.pdf</t>
  </si>
  <si>
    <t>06_report - 2025-05-27T102154.561.pdf</t>
  </si>
  <si>
    <t>Чек_27-05-2025_10673342253402276431.pdf</t>
  </si>
  <si>
    <t>07_report - 2025-05-27T102154.561.pdf</t>
  </si>
  <si>
    <t>Чек_27-05-2025_10673342253401276861.pdf</t>
  </si>
  <si>
    <t>08_report - 2025-05-27T102154.561.pdf</t>
  </si>
  <si>
    <t>Чек_27-05-2025_10673342253402136948.pdf</t>
  </si>
  <si>
    <t>09_report - 2025-05-27T102154.561.pdf</t>
  </si>
  <si>
    <t>Чек_27-05-2025_10673342253400911997.pdf</t>
  </si>
  <si>
    <t>10_report - 2025-05-27T102154.561.pdf</t>
  </si>
  <si>
    <t>Чек_27-05-2025_10673342253401587603.pdf</t>
  </si>
  <si>
    <t>01_report - 2025-06-27T130453.589.pdf</t>
  </si>
  <si>
    <t>Чек_27-06-2025_10673342253427088213.pdf</t>
  </si>
  <si>
    <t>C:\Users\Logik\Documents\ИП Коротаев ОА\Архив Штрафы ИП КОА\1 ИЛ\_ИЛ нет\295 Н4 А40-165328-2025 Харламов А. О.  -- мту\3 Заявление в МТУ А40-165328-2025</t>
  </si>
  <si>
    <t>02_report - 2025-06-27T130453.589.pdf</t>
  </si>
  <si>
    <t>Чек_27-06-2025_10673342253426544886.pdf</t>
  </si>
  <si>
    <t>03_report - 2025-06-27T130453.589.pdf</t>
  </si>
  <si>
    <t>Чек_27-06-2025_10673342253426460151.pdf</t>
  </si>
  <si>
    <t>04_report - 2025-06-27T130453.589.pdf</t>
  </si>
  <si>
    <t>Чек_27-06-2025_10673342253428476764.pdf</t>
  </si>
  <si>
    <t>05_report - 2025-06-27T130453.589.pdf</t>
  </si>
  <si>
    <t>Чек_27-06-2025_10673342253428846588.pdf</t>
  </si>
  <si>
    <t>06_report - 2025-06-27T130453.589.pdf</t>
  </si>
  <si>
    <t>Чек_27-06-2025_10673342253428837619.pdf</t>
  </si>
  <si>
    <t>07_report - 2025-06-27T130453.589.pdf</t>
  </si>
  <si>
    <t>Чек_27-06-2025_10673342253428668221.pdf</t>
  </si>
  <si>
    <t>08_report - 2025-06-27T130453.589.pdf</t>
  </si>
  <si>
    <t>Чек_27-06-2025_10673342253428564183.pdf</t>
  </si>
  <si>
    <t>Чек_31-03-2025_10673342253453089852.pdf</t>
  </si>
  <si>
    <t>Чек_31-03-2025_10673342253452633149.pdf</t>
  </si>
  <si>
    <t>C:\Users\Logik\Documents\ИП Коротаев ОА\Архив Штрафы ИП КОА\1 ИЛ\213 Г5 А40-84408-2025 Уточкин И. Н. есть 15-90 мту\3 Заявление в МТУ А40-84408-2025</t>
  </si>
  <si>
    <t>Чек_31-03-2025_10673342253452736886.pdf</t>
  </si>
  <si>
    <t>Чек_31-03-2025_10673342253452634129.pdf</t>
  </si>
  <si>
    <t>Чек_31-03-2025_10673342253452084595.pdf</t>
  </si>
  <si>
    <t>C:\Users\Logik\Documents\ИП Коротаев ОА\Архив Штрафы ИП КОА\1 ИЛ\_ИЛ есть\212 Г4 А40-83816-2025 Девицкая Н. Е. в части мту\3 Заявление в МТУ А40-83816-2025</t>
  </si>
  <si>
    <t>Чек_31-03-2025_10673342253452626185.pdf</t>
  </si>
  <si>
    <t>Чек_31-03-2025_10673342253452054629.pdf</t>
  </si>
  <si>
    <t>Чек_31-03-2025_10673342253451989225.pdf</t>
  </si>
  <si>
    <t>report - 2025-03-27T165305.724.pdf</t>
  </si>
  <si>
    <t>report - 2025-03-27T165319.544.pdf</t>
  </si>
  <si>
    <t>report - 2025-03-27T165336.045.pdf</t>
  </si>
  <si>
    <t>report - 2025-03-27T165349.343.pdf</t>
  </si>
  <si>
    <t>Чек_27-03-2025_10673342253450167264.pdf</t>
  </si>
  <si>
    <t>C:\Users\Logik\Documents\ИП Коротаев ОА\Архив Штрафы ИП КОА\1 ИЛ\- 315 П6 А40-198311-2025 Сизова О. В. -- мту\3 Заявление в МТУ А40-198311-2025</t>
  </si>
  <si>
    <t>report - 2025-03-27T165403.934.pdf</t>
  </si>
  <si>
    <t>Чек_27-03-2025_10673342253450203228.pdf</t>
  </si>
  <si>
    <t>report - 2025-03-27T165419.170.pdf</t>
  </si>
  <si>
    <t>report - 2025-03-27T165445.439.pdf</t>
  </si>
  <si>
    <t>Чек_27-03-2025_10673342253450138426.pdf</t>
  </si>
  <si>
    <t>report - 2025-03-27T165500.654.pdf</t>
  </si>
  <si>
    <t>Чек_27-03-2025_10673342253449915562.pdf</t>
  </si>
  <si>
    <t>report - 2025-03-28T095630.898.pdf</t>
  </si>
  <si>
    <t>Чек_28-03-2025_10673342253451874665.pdf</t>
  </si>
  <si>
    <t>report - 2025-03-28T095646.811.pdf</t>
  </si>
  <si>
    <t>Чек_28-03-2025_10673342253451469914.pdf</t>
  </si>
  <si>
    <t>report - 2025-03-28T095659.937.pdf</t>
  </si>
  <si>
    <t>Чек_28-03-2025_10673342253451870597.pdf</t>
  </si>
  <si>
    <t>report - 2025-03-28T095715.706.pdf</t>
  </si>
  <si>
    <t>Чек_28-03-2025_10673342253451834906.pdf</t>
  </si>
  <si>
    <t>report - 2025-03-28T095733.059.pdf</t>
  </si>
  <si>
    <t>report - 2025-03-28T095749.561.pdf</t>
  </si>
  <si>
    <t>report - 2025-03-28T095805.660.pdf</t>
  </si>
  <si>
    <t>Чек_28-03-2025_10673342253451310788.pdf</t>
  </si>
  <si>
    <t>C:\Users\Logik\Documents\ИП Коротаев ОА\Архив Штрафы ИП КОА\_новые 2026 на обработку\А50 А40-314501-2025 Сизова О. В. -</t>
  </si>
  <si>
    <t>report - 2025-03-28T095819.474.pdf</t>
  </si>
  <si>
    <t>report - 2025-03-28T095844.750.pdf</t>
  </si>
  <si>
    <t>report - 2025-03-28T095901.095.pdf</t>
  </si>
  <si>
    <t>01_report - 2025-05-29T094147.380.pdf</t>
  </si>
  <si>
    <t>02_report - 2025-05-29T094147.380.pdf</t>
  </si>
  <si>
    <t>03_report - 2025-05-29T094147.380.pdf</t>
  </si>
  <si>
    <t>Чек_29-05-2025_10673342253403503970.pdf</t>
  </si>
  <si>
    <t>04_report - 2025-05-29T094147.380.pdf</t>
  </si>
  <si>
    <t>05_report - 2025-05-29T094147.380.pdf</t>
  </si>
  <si>
    <t>06_report - 2025-05-29T094147.380.pdf</t>
  </si>
  <si>
    <t>Чек_29-05-2025_10673342253403423144.pdf</t>
  </si>
  <si>
    <t>07_report - 2025-05-29T094147.380.pdf</t>
  </si>
  <si>
    <t>Чек_29-05-2025_10673342253403053126.pdf</t>
  </si>
  <si>
    <t>Чек_29-04-2025_10673342253479320346.pdf</t>
  </si>
  <si>
    <t>C:\Users\Logik\Documents\ИП Коротаев ОА\Архив Штрафы ИП КОА\1 ИЛ\_ИЛ нет\242 Д6 А40-108294-2025 Ласкина С. О. Э мту\3 Заявление в МТУ А40-108294-2025</t>
  </si>
  <si>
    <t>Чек_29-04-2025_10673342253479494158.pdf</t>
  </si>
  <si>
    <t>Чек_29-04-2025_10673342253479597054.pdf</t>
  </si>
  <si>
    <t>Чек_29-04-2025_10673342253477670344.pdf</t>
  </si>
  <si>
    <t>C:\Users\Logik\Documents\ИП Коротаев ОА\Архив Штрафы ИП КОА\1 ИЛ\_ИЛ есть\241 Д5 А40-108169-2025 Вихарев А. В. мту\3 Заявление в МТУ А40-108169-2025</t>
  </si>
  <si>
    <t>Чек_29-04-2025_10673342253478693785.pdf</t>
  </si>
  <si>
    <t>Чек_29-04-2025_10673342253478735070.pdf</t>
  </si>
  <si>
    <t>Чек_29-04-2025_10673342253478861432.pdf</t>
  </si>
  <si>
    <t>Чек_30-04-2025_10673342253480598603.pdf</t>
  </si>
  <si>
    <t>C:\Users\Logik\Documents\ИП Коротаев ОА\Архив Штрафы ИП КОА\1 ИЛ\_ИЛ нет\244 Д8 А40-110731-2025 Кукина С. М. Э мту\Дополнительно Д8</t>
  </si>
  <si>
    <t>Чек_30-04-2025_10673342253480548722.pdf</t>
  </si>
  <si>
    <t>Чек_30-04-2025_10673342253481037931.pdf</t>
  </si>
  <si>
    <t>Чек_30-04-2025_10673342253481335096.pdf</t>
  </si>
  <si>
    <t>01_report - 2025-05-30T102036.236.pdf</t>
  </si>
  <si>
    <t>02_report - 2025-05-30T102036.236.pdf</t>
  </si>
  <si>
    <t>03_report - 2025-05-30T102036.236.pdf</t>
  </si>
  <si>
    <t>04_report - 2025-05-30T102036.236.pdf</t>
  </si>
  <si>
    <t>05_report - 2025-05-30T102036.236.pdf</t>
  </si>
  <si>
    <t>06_report - 2025-05-30T102036.236.pdf</t>
  </si>
  <si>
    <t>01_report (1).pdf</t>
  </si>
  <si>
    <t>01_report (19).pdf</t>
  </si>
  <si>
    <t>Чек_07-05-2025_10673342253484981231.pdf</t>
  </si>
  <si>
    <t>01_report - 2025-05-05T081454.467.pdf</t>
  </si>
  <si>
    <t>02_report (1).pdf</t>
  </si>
  <si>
    <t>02_report (19).pdf</t>
  </si>
  <si>
    <t>Чек_07-05-2025_10673342253484895440.pdf</t>
  </si>
  <si>
    <t>02_report - 2025-05-05T081454.467.pdf</t>
  </si>
  <si>
    <t>03_report (1).pdf</t>
  </si>
  <si>
    <t>03_report (19).pdf</t>
  </si>
  <si>
    <t>Чек_07-05-2025_10673342253484502864.pdf</t>
  </si>
  <si>
    <t>C:\Users\Logik\Documents\ИП Коротаев ОА\Архив Штрафы ИП КОА\1 ИЛ\_ИЛ нет\250 Е5 А40-111029-2025 Кипель М. Т. Э мту\3 Заявление в МТУ А40-111029-2025</t>
  </si>
  <si>
    <t>03_report - 2025-05-05T081454.467.pdf</t>
  </si>
  <si>
    <t>04_report (1).pdf</t>
  </si>
  <si>
    <t>04_report (19).pdf</t>
  </si>
  <si>
    <t>Чек_07-05-2025_10673342253484859797.pdf</t>
  </si>
  <si>
    <t>04_report - 2025-05-05T081454.467.pdf</t>
  </si>
  <si>
    <t>05_report (1).pdf</t>
  </si>
  <si>
    <t>05_report (19).pdf</t>
  </si>
  <si>
    <t>05_report - 2025-05-05T081454.467.pdf</t>
  </si>
  <si>
    <t>06_report (1).pdf</t>
  </si>
  <si>
    <t>06_report (19).pdf</t>
  </si>
  <si>
    <t>Чек_07-05-2025_10673342253484414590.pdf</t>
  </si>
  <si>
    <t>07_report (1).pdf</t>
  </si>
  <si>
    <t>07_report (19).pdf</t>
  </si>
  <si>
    <t>Чек_07-05-2025_10673342253483913887.pdf</t>
  </si>
  <si>
    <t>08_report (1).pdf</t>
  </si>
  <si>
    <t>Чек_05-05-2025_10673342253482597094.pdf</t>
  </si>
  <si>
    <t>C:\Users\Logik\Documents\ИП Коротаев ОА\Архив Штрафы ИП КОА\1 ИЛ\_ИЛ нет\247 Е2 А40-110869-2025 Полякова А. Б. Э мту\3 Заявление в МТУ А40-110869-2025</t>
  </si>
  <si>
    <t>08_report (19).pdf</t>
  </si>
  <si>
    <t>09_report (1).pdf</t>
  </si>
  <si>
    <t>Чек_05-05-2025_10673342253482620274.pdf</t>
  </si>
  <si>
    <t>09_report (19).pdf</t>
  </si>
  <si>
    <t>10_report (1).pdf</t>
  </si>
  <si>
    <t>Чек_05-05-2025_10673342253482671097.pdf</t>
  </si>
  <si>
    <t>10_report (19).pdf</t>
  </si>
  <si>
    <t>Чек_07-05-2025_10673342253483482975.pdf</t>
  </si>
  <si>
    <t>C:\Users\Logik\Documents\ИП Коротаев ОА\Архив Штрафы ИП КОА\1 ИЛ\_ИЛ есть\248 Е3 А40-110981-2025 Гилаев Д. А. Э мту\3 Заявление в МТУ А40-110981-2025</t>
  </si>
  <si>
    <t>11_report (19).pdf</t>
  </si>
  <si>
    <t>12_report (19).pdf</t>
  </si>
  <si>
    <t>Чек_07-05-2025_10673342253483574187.pdf</t>
  </si>
  <si>
    <t>13_report (19).pdf</t>
  </si>
  <si>
    <t>Чек_07-05-2025_10673342253483265015.pdf</t>
  </si>
  <si>
    <t>14_report (19).pdf</t>
  </si>
  <si>
    <t>Чек_07-05-2025_10673342253483265079.pdf</t>
  </si>
  <si>
    <t>15_report (19).pdf</t>
  </si>
  <si>
    <t>Чек_07-05-2025_10673342253483249979.pdf</t>
  </si>
  <si>
    <t>Чек_29-04-2025_10673342253478246568.pdf</t>
  </si>
  <si>
    <t>Чек_29-04-2025_10673342253478173463.pdf</t>
  </si>
  <si>
    <t>report (64).pdf</t>
  </si>
  <si>
    <t>Чек_24-04-2025_10673342253476399987.pdf</t>
  </si>
  <si>
    <t>report (65).pdf</t>
  </si>
  <si>
    <t>Чек_24-04-2025_10673342253476422571.pdf</t>
  </si>
  <si>
    <t>report (66).pdf</t>
  </si>
  <si>
    <t>Чек_24-04-2025_10673342253476181779.pdf</t>
  </si>
  <si>
    <t>report (68).pdf</t>
  </si>
  <si>
    <t>06_report - 2024-12-24T153733.408.pdf</t>
  </si>
  <si>
    <t>Чек_24-12-2024_10673342243495136105.pdf</t>
  </si>
  <si>
    <t>C:\Users\Logik\Documents\ИП Коротаев ОА\Архив Штрафы ИП КОА\_новые 2026 на обработку\А35 А40-314238-2025 Сизова О. В. -</t>
  </si>
  <si>
    <t>08_report - 2024-12-24T153733.408.pdf</t>
  </si>
  <si>
    <t>10_report - 2024-12-24T153733.408.pdf</t>
  </si>
  <si>
    <t>Чек_24-12-2024_10673342243495049903.pdf</t>
  </si>
  <si>
    <t>11_report - 2024-12-24T153733.408.pdf</t>
  </si>
  <si>
    <t>Чек_24-12-2024_10673342243495047560.pdf</t>
  </si>
  <si>
    <t>13_report - 2024-12-24T153733.408.pdf</t>
  </si>
  <si>
    <t>1586 10673621240232703630-175-1л.pdf</t>
  </si>
  <si>
    <t>piev_36401326678381.pdf</t>
  </si>
  <si>
    <t>piev_36401326687947.pdf</t>
  </si>
  <si>
    <t>piev_45241951451997.pdf</t>
  </si>
  <si>
    <t>piev_46211661863339.pdf</t>
  </si>
  <si>
    <t>piev_46241260018920.pdf</t>
  </si>
  <si>
    <t>report - 2024-11-19T151631.756.pdf</t>
  </si>
  <si>
    <t>report - 2024-11-19T151653.298.pdf</t>
  </si>
  <si>
    <t>report - 2024-11-19T151709.876.pdf</t>
  </si>
  <si>
    <t>report - 2024-11-19T151727.090.pdf</t>
  </si>
  <si>
    <t>report - 2024-11-21T095111.512.pdf</t>
  </si>
  <si>
    <t>Чек_21-11-2024_10673342243477621412.pdf</t>
  </si>
  <si>
    <t>report - 2024-11-21T095153.235.pdf</t>
  </si>
  <si>
    <t>Чек_21-11-2024_10673342243478002945.pdf</t>
  </si>
  <si>
    <t>report - 2024-11-21T095234.751.pdf</t>
  </si>
  <si>
    <t>Чек_21-11-2024_10673342243477892610.pdf</t>
  </si>
  <si>
    <t>report - 2024-11-26T081243.013.pdf</t>
  </si>
  <si>
    <t>Чек_25-11-2024_10673342243477490792.pdf</t>
  </si>
  <si>
    <t>C:\Users\Logik\Documents\ИП Коротаев ОА\Архив Штрафы ИП КОА\_новые 2026 на обработку\А29 А40-313965-2025 Сизова О. В. -</t>
  </si>
  <si>
    <t>report - 2024-11-26T081311.583.pdf</t>
  </si>
  <si>
    <t>Чек_25-11-2024_10673342243477596833.pdf</t>
  </si>
  <si>
    <t>report - 2024-12-02T084949.791.pdf</t>
  </si>
  <si>
    <t>report - 2024-12-02T085041.176.pdf</t>
  </si>
  <si>
    <t>report - 2024-12-09T102747.803.pdf</t>
  </si>
  <si>
    <t>Чек_09-12-2024_10673342243485905149.pdf</t>
  </si>
  <si>
    <t>C:\Users\Logik\Documents\ИП Коротаев ОА\Архив Штрафы ИП КОА\1 ИЛ\_ИЛ нет\126 уск В1 А40-298887-2024 Уточкин И.Н. + мту</t>
  </si>
  <si>
    <t>report - 2024-12-16T103732.174.pdf</t>
  </si>
  <si>
    <t>report - 2024-12-20T104233.365.pdf</t>
  </si>
  <si>
    <t>report - 2024-12-20T104306.808.pdf</t>
  </si>
  <si>
    <t>report - 2024-12-23T102058.541.pdf</t>
  </si>
  <si>
    <t>report - 2024-12-23T102142.765.pdf</t>
  </si>
  <si>
    <t>report - 2024-12-27T103523.830.pdf</t>
  </si>
  <si>
    <t>report - 2024-12-27T103550.119.pdf</t>
  </si>
  <si>
    <t>report - 2024-12-27T103619.942.pdf</t>
  </si>
  <si>
    <t>report - 2024-12-27T103741.200.pdf</t>
  </si>
  <si>
    <t>report - 2024-12-27T104038.890.pdf</t>
  </si>
  <si>
    <t>report - 2025-01-16T114608.249.pdf</t>
  </si>
  <si>
    <t>Чек_14-01-2025_10673342243499760520.pdf</t>
  </si>
  <si>
    <t>C:\Users\Logik\Documents\ИП Коротаев ОА\Архив Штрафы ИП КОА\_новые 2026 на обработку\А38 А40-314127-2025 Кукина С. М. -</t>
  </si>
  <si>
    <t>report - 2025-01-16T130545.891.pdf</t>
  </si>
  <si>
    <t>report - 2025-01-16T130723.945.pdf</t>
  </si>
  <si>
    <t>Чек_16-01-2025_10673342253403703627.pdf</t>
  </si>
  <si>
    <t>C:\Users\Logik\Documents\ИП Коротаев ОА\Архив Штрафы ИП КОА\1 ИЛ\_ИЛ есть\148 уск Е4 А40-22606-2025 Немова О.Ю мту</t>
  </si>
  <si>
    <t>report - 2025-01-16T130740.940.pdf</t>
  </si>
  <si>
    <t>Чек_16-01-2025_10673342253403554710.pdf</t>
  </si>
  <si>
    <t>report - 2025-01-16T130803.730.pdf</t>
  </si>
  <si>
    <t>Чек_16-01-2025_10673342253403632557.pdf</t>
  </si>
  <si>
    <t>report - 2025-01-16T130907.261.pdf</t>
  </si>
  <si>
    <t>Чек_16-01-2025_10673342253403753756.pdf</t>
  </si>
  <si>
    <t>report - 2025-01-16T130933.067.pdf</t>
  </si>
  <si>
    <t>Чек_16-01-2025_10673342253403839669.pdf</t>
  </si>
  <si>
    <t>report - 2025-01-23T093257.065.pdf</t>
  </si>
  <si>
    <t>report - 2025-01-23T093325.943.pdf</t>
  </si>
  <si>
    <t>report - 2025-02-04T104533.426.pdf</t>
  </si>
  <si>
    <t>Чек_04-02-2025_10673342253412210670.pdf</t>
  </si>
  <si>
    <t>C:\Users\Logik\Documents\ИП Коротаев ОА\Архив Штрафы ИП КОА\1 ИЛ\_ИЛ есть\157 уск И1 А40-25994-2025 Кукина С.М. мту</t>
  </si>
  <si>
    <t>report - 2025-02-04T104550.456.pdf</t>
  </si>
  <si>
    <t>report - 2025-02-04T104603.857.pdf</t>
  </si>
  <si>
    <t>Чек_04-02-2025_10673342253411505510.pdf</t>
  </si>
  <si>
    <t>report - 2025-02-04T104621.368.pdf</t>
  </si>
  <si>
    <t>Чек_04-02-2025_10673342253411702111.pdf</t>
  </si>
  <si>
    <t>report - 2025-02-04T104653.293.pdf</t>
  </si>
  <si>
    <t>Чек_04-02-2025_10673342253411518248.pdf</t>
  </si>
  <si>
    <t>report - 2025-02-04T104721.821.pdf</t>
  </si>
  <si>
    <t>Чек_04-02-2025_10673342253411581020.pdf</t>
  </si>
  <si>
    <t>report - 2025-02-04T151937.749.pdf</t>
  </si>
  <si>
    <t>report - 2025-02-04T151956.184.pdf</t>
  </si>
  <si>
    <t>report - 2025-02-04T152015.250.pdf</t>
  </si>
  <si>
    <t>report - 2025-02-04T152056.471.pdf</t>
  </si>
  <si>
    <t>report - 2025-02-04T152116.471.pdf</t>
  </si>
  <si>
    <t>report - 2025-02-04T152131.674.pdf</t>
  </si>
  <si>
    <t>report - 2025-02-10T131448.719.pdf</t>
  </si>
  <si>
    <t>report - 2025-02-10T131515.892.pdf</t>
  </si>
  <si>
    <t>report - 2025-02-10T131600.046.pdf</t>
  </si>
  <si>
    <t>report - 2025-02-10T131616.711.pdf</t>
  </si>
  <si>
    <t>report - 2025-02-10T131646.670.pdf</t>
  </si>
  <si>
    <t>report - 2025-02-10T131706.300.pdf</t>
  </si>
  <si>
    <t>report - 2025-02-10T131729.649.pdf</t>
  </si>
  <si>
    <t>report - 2025-02-10T131745.045.pdf</t>
  </si>
  <si>
    <t>report - 2025-02-11T151242.225.pdf</t>
  </si>
  <si>
    <t>report - 2025-02-11T151259.155.pdf</t>
  </si>
  <si>
    <t>report - 2025-02-11T151317.934.pdf</t>
  </si>
  <si>
    <t>Чек_11-02-2025_10673342253416722994.pdf</t>
  </si>
  <si>
    <t>C:\Users\Logik\Documents\ИП Коротаев ОА\Архив Штрафы ИП КОА\1 ИЛ\_ИЛ есть\163 К2 А40-35542-2025 Харламов А.О. мту</t>
  </si>
  <si>
    <t>report - 2025-02-11T151332.327.pdf</t>
  </si>
  <si>
    <t>report - 2025-02-11T151347.441.pdf</t>
  </si>
  <si>
    <t>report - 2025-02-11T151422.315.pdf</t>
  </si>
  <si>
    <t>report - 2025-02-13T152238.418.pdf</t>
  </si>
  <si>
    <t>Чек_13-02-2025_10673342253417608621.pdf</t>
  </si>
  <si>
    <t>report - 2025-02-13T152256.076.pdf</t>
  </si>
  <si>
    <t>Чек_13-02-2025_10673342253417389466.pdf</t>
  </si>
  <si>
    <t>report - 2025-02-13T152315.411.pdf</t>
  </si>
  <si>
    <t>Чек_13-02-2025_10673342253417550658.pdf</t>
  </si>
  <si>
    <t>report - 2025-02-13T152330.180.pdf</t>
  </si>
  <si>
    <t>Чек_13-02-2025_10673342253417172769.pdf</t>
  </si>
  <si>
    <t>Платежки.pdf</t>
  </si>
  <si>
    <t>Otchet_Cheki.csv</t>
  </si>
  <si>
    <t>от 08.02.2026</t>
  </si>
  <si>
    <t>от 13.02.2026 № 540363</t>
  </si>
  <si>
    <t>от 13.02.2026 № 540421</t>
  </si>
  <si>
    <t>от 13.02.2026 № 540562</t>
  </si>
  <si>
    <t>от 06.02.2026 № 538129</t>
  </si>
  <si>
    <t>МТУ ПП на оплату нет</t>
  </si>
  <si>
    <t>распечатать и отдать ерошкину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</si>
</sst>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  <xf numFmtId="14" fontId="0" fillId="0" borderId="0" xfId="0" applyNumberFormat="1"/>
    <xf numFmtId="0" fontId="19" fillId="0" borderId="0" xfId="0" applyFont="1"/>
    <xf numFmtId="0" fontId="0" fillId="0" borderId="0" xfId="0" applyFill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49"/>
  <sheetViews>
    <sheetView tabSelected="1" workbookViewId="0">
      <selection activeCell="I23" sqref="I23"/>
    </sheetView>
  </sheetViews>
  <sheetFormatPr defaultRowHeight="15"/>
  <cols>
    <col min="1" max="1" width="15.85546875" customWidth="1"/>
    <col min="2" max="2" width="45.42578125" customWidth="1"/>
    <col min="3" max="3" width="37" customWidth="1"/>
    <col min="4" max="4" width="57.140625" customWidth="1"/>
    <col min="6" max="6" width="13" customWidth="1"/>
    <col min="7" max="7" width="30.42578125" customWidth="1"/>
    <col min="8" max="8" width="20.140625" customWidth="1"/>
    <col min="9" max="9" width="35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t="str">
        <f>"10673342243452791357"</f>
        <v>10673342243452791357</v>
      </c>
      <c r="C2" t="s">
        <v>6</v>
      </c>
      <c r="D2" t="s">
        <v>7</v>
      </c>
      <c r="E2" s="1" t="s">
        <v>8</v>
      </c>
      <c r="F2" s="1" t="s">
        <v>85</v>
      </c>
      <c r="G2" s="1"/>
      <c r="H2" s="1"/>
      <c r="I2" s="1"/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spans="1:9">
      <c r="A4" t="s">
        <v>13</v>
      </c>
      <c r="B4" t="str">
        <f>"10673342243453067261"</f>
        <v>10673342243453067261</v>
      </c>
      <c r="C4" t="s">
        <v>6</v>
      </c>
      <c r="D4" t="s">
        <v>14</v>
      </c>
      <c r="E4" t="s">
        <v>15</v>
      </c>
      <c r="F4" t="s">
        <v>84</v>
      </c>
      <c r="G4" t="s">
        <v>86</v>
      </c>
      <c r="H4" t="s">
        <v>87</v>
      </c>
      <c r="I4" s="1" t="s">
        <v>95</v>
      </c>
    </row>
    <row r="5" spans="1:9">
      <c r="A5" t="s">
        <v>16</v>
      </c>
      <c r="B5" t="s">
        <v>17</v>
      </c>
      <c r="C5" t="s">
        <v>11</v>
      </c>
      <c r="D5" t="s">
        <v>12</v>
      </c>
      <c r="E5" t="s">
        <v>12</v>
      </c>
    </row>
    <row r="6" spans="1:9">
      <c r="A6" t="s">
        <v>18</v>
      </c>
      <c r="B6" t="str">
        <f>"10673342243460358179"</f>
        <v>10673342243460358179</v>
      </c>
      <c r="C6" t="s">
        <v>6</v>
      </c>
      <c r="D6" t="s">
        <v>19</v>
      </c>
      <c r="E6" t="s">
        <v>20</v>
      </c>
      <c r="F6" t="s">
        <v>84</v>
      </c>
      <c r="G6" s="3" t="s">
        <v>92</v>
      </c>
      <c r="H6" t="s">
        <v>87</v>
      </c>
      <c r="I6" s="1" t="s">
        <v>95</v>
      </c>
    </row>
    <row r="7" spans="1:9">
      <c r="A7" t="s">
        <v>21</v>
      </c>
      <c r="B7" t="s">
        <v>22</v>
      </c>
      <c r="C7" t="s">
        <v>11</v>
      </c>
      <c r="D7" t="s">
        <v>12</v>
      </c>
      <c r="E7" t="s">
        <v>12</v>
      </c>
    </row>
    <row r="8" spans="1:9">
      <c r="A8" t="s">
        <v>23</v>
      </c>
      <c r="B8" t="str">
        <f>"10677462254022690241"</f>
        <v>10677462254022690241</v>
      </c>
      <c r="C8" t="s">
        <v>6</v>
      </c>
      <c r="D8" t="s">
        <v>24</v>
      </c>
      <c r="E8" t="s">
        <v>25</v>
      </c>
      <c r="F8" t="s">
        <v>84</v>
      </c>
      <c r="G8" t="s">
        <v>88</v>
      </c>
      <c r="H8" t="s">
        <v>87</v>
      </c>
      <c r="I8" s="2" t="s">
        <v>89</v>
      </c>
    </row>
    <row r="9" spans="1:9">
      <c r="A9" t="s">
        <v>26</v>
      </c>
      <c r="B9" t="str">
        <f>"10673342243461897960"</f>
        <v>10673342243461897960</v>
      </c>
      <c r="C9" t="s">
        <v>6</v>
      </c>
      <c r="D9" t="s">
        <v>27</v>
      </c>
      <c r="E9" t="s">
        <v>28</v>
      </c>
      <c r="F9" t="s">
        <v>84</v>
      </c>
      <c r="G9" s="3" t="s">
        <v>93</v>
      </c>
      <c r="H9" t="s">
        <v>87</v>
      </c>
      <c r="I9" s="1" t="s">
        <v>95</v>
      </c>
    </row>
    <row r="10" spans="1:9">
      <c r="A10" t="s">
        <v>29</v>
      </c>
      <c r="B10" t="str">
        <f>"10677462254044562424"</f>
        <v>10677462254044562424</v>
      </c>
      <c r="C10" t="s">
        <v>6</v>
      </c>
      <c r="D10" t="s">
        <v>30</v>
      </c>
      <c r="E10" t="s">
        <v>31</v>
      </c>
    </row>
    <row r="11" spans="1:9">
      <c r="A11" t="s">
        <v>32</v>
      </c>
      <c r="B11" t="s">
        <v>33</v>
      </c>
      <c r="C11" t="s">
        <v>11</v>
      </c>
      <c r="D11" t="s">
        <v>12</v>
      </c>
      <c r="E11" t="s">
        <v>12</v>
      </c>
    </row>
    <row r="12" spans="1:9">
      <c r="A12" t="s">
        <v>34</v>
      </c>
      <c r="B12" t="str">
        <f>"10673342243412118015"</f>
        <v>10673342243412118015</v>
      </c>
      <c r="C12" t="s">
        <v>6</v>
      </c>
      <c r="D12" t="s">
        <v>35</v>
      </c>
      <c r="E12" t="s">
        <v>36</v>
      </c>
      <c r="F12" t="s">
        <v>84</v>
      </c>
      <c r="G12" t="s">
        <v>90</v>
      </c>
      <c r="H12" t="s">
        <v>87</v>
      </c>
      <c r="I12" s="1" t="s">
        <v>91</v>
      </c>
    </row>
    <row r="13" spans="1:9">
      <c r="A13" t="s">
        <v>37</v>
      </c>
      <c r="B13" t="s">
        <v>38</v>
      </c>
      <c r="C13" t="s">
        <v>11</v>
      </c>
      <c r="D13" t="s">
        <v>12</v>
      </c>
      <c r="E13" t="s">
        <v>12</v>
      </c>
    </row>
    <row r="14" spans="1:9">
      <c r="A14" t="s">
        <v>39</v>
      </c>
      <c r="B14" t="s">
        <v>40</v>
      </c>
      <c r="C14" t="s">
        <v>11</v>
      </c>
      <c r="D14" t="s">
        <v>12</v>
      </c>
      <c r="E14" t="s">
        <v>12</v>
      </c>
    </row>
    <row r="15" spans="1:9">
      <c r="A15" t="s">
        <v>41</v>
      </c>
      <c r="B15" t="str">
        <f>"10673342243444606848"</f>
        <v>10673342243444606848</v>
      </c>
      <c r="C15" t="s">
        <v>6</v>
      </c>
      <c r="D15" t="s">
        <v>42</v>
      </c>
      <c r="E15" t="s">
        <v>43</v>
      </c>
      <c r="F15" t="s">
        <v>84</v>
      </c>
      <c r="G15" t="s">
        <v>94</v>
      </c>
      <c r="H15" t="s">
        <v>87</v>
      </c>
      <c r="I15" s="1" t="s">
        <v>95</v>
      </c>
    </row>
    <row r="16" spans="1:9">
      <c r="A16" t="s">
        <v>44</v>
      </c>
      <c r="B16" t="str">
        <f>"10673342233499028049"</f>
        <v>10673342233499028049</v>
      </c>
      <c r="C16" t="s">
        <v>6</v>
      </c>
      <c r="D16" t="s">
        <v>45</v>
      </c>
      <c r="E16" t="s">
        <v>46</v>
      </c>
      <c r="F16" t="s">
        <v>84</v>
      </c>
      <c r="G16" t="s">
        <v>1649</v>
      </c>
      <c r="H16" t="s">
        <v>87</v>
      </c>
      <c r="I16" s="2" t="s">
        <v>89</v>
      </c>
    </row>
    <row r="17" spans="1:9">
      <c r="A17" t="s">
        <v>47</v>
      </c>
      <c r="B17" t="str">
        <f>"10673342253435309290"</f>
        <v>10673342253435309290</v>
      </c>
      <c r="C17" t="s">
        <v>6</v>
      </c>
      <c r="D17" t="s">
        <v>48</v>
      </c>
      <c r="E17" t="s">
        <v>49</v>
      </c>
    </row>
    <row r="18" spans="1:9">
      <c r="A18" t="s">
        <v>50</v>
      </c>
      <c r="B18" t="str">
        <f>"10673342243478234137"</f>
        <v>10673342243478234137</v>
      </c>
      <c r="C18" t="s">
        <v>6</v>
      </c>
      <c r="D18" t="s">
        <v>51</v>
      </c>
      <c r="E18" t="s">
        <v>52</v>
      </c>
    </row>
    <row r="19" spans="1:9">
      <c r="A19" t="s">
        <v>53</v>
      </c>
      <c r="B19" t="str">
        <f>"10673342253410350491"</f>
        <v>10673342253410350491</v>
      </c>
      <c r="C19" t="s">
        <v>6</v>
      </c>
      <c r="D19" t="s">
        <v>54</v>
      </c>
      <c r="E19" t="s">
        <v>55</v>
      </c>
    </row>
    <row r="20" spans="1:9">
      <c r="A20" t="s">
        <v>56</v>
      </c>
      <c r="B20" t="str">
        <f>"10673342243477892610"</f>
        <v>10673342243477892610</v>
      </c>
      <c r="C20" t="s">
        <v>6</v>
      </c>
      <c r="D20" t="s">
        <v>57</v>
      </c>
      <c r="E20" t="s">
        <v>58</v>
      </c>
    </row>
    <row r="21" spans="1:9">
      <c r="A21" t="s">
        <v>59</v>
      </c>
      <c r="B21" t="str">
        <f>"10673342243427221275"</f>
        <v>10673342243427221275</v>
      </c>
      <c r="C21" t="s">
        <v>6</v>
      </c>
      <c r="D21" s="6" t="s">
        <v>60</v>
      </c>
      <c r="E21" t="s">
        <v>61</v>
      </c>
      <c r="F21" t="s">
        <v>84</v>
      </c>
      <c r="G21" t="s">
        <v>1646</v>
      </c>
      <c r="H21" t="s">
        <v>87</v>
      </c>
      <c r="I21" s="1" t="s">
        <v>95</v>
      </c>
    </row>
    <row r="22" spans="1:9">
      <c r="A22" t="s">
        <v>62</v>
      </c>
      <c r="B22" t="str">
        <f>"10673342243461504233"</f>
        <v>10673342243461504233</v>
      </c>
      <c r="C22" t="s">
        <v>6</v>
      </c>
      <c r="D22" t="s">
        <v>63</v>
      </c>
      <c r="E22" t="s">
        <v>64</v>
      </c>
      <c r="F22" t="s">
        <v>84</v>
      </c>
      <c r="G22" s="5" t="s">
        <v>1650</v>
      </c>
      <c r="H22" t="s">
        <v>87</v>
      </c>
      <c r="I22" s="5" t="s">
        <v>1651</v>
      </c>
    </row>
    <row r="23" spans="1:9">
      <c r="A23" t="s">
        <v>65</v>
      </c>
      <c r="B23" t="str">
        <f>"10677462254014639364"</f>
        <v>10677462254014639364</v>
      </c>
      <c r="C23" t="s">
        <v>6</v>
      </c>
      <c r="D23" t="s">
        <v>66</v>
      </c>
      <c r="E23" t="s">
        <v>67</v>
      </c>
    </row>
    <row r="24" spans="1:9">
      <c r="A24" t="s">
        <v>68</v>
      </c>
      <c r="B24" t="str">
        <f>"10677462254033114549"</f>
        <v>10677462254033114549</v>
      </c>
      <c r="C24" t="s">
        <v>6</v>
      </c>
      <c r="D24" t="s">
        <v>69</v>
      </c>
      <c r="E24" t="s">
        <v>70</v>
      </c>
    </row>
    <row r="25" spans="1:9">
      <c r="A25" t="s">
        <v>71</v>
      </c>
      <c r="B25" t="str">
        <f>"10677462254041685835"</f>
        <v>10677462254041685835</v>
      </c>
      <c r="C25" t="s">
        <v>6</v>
      </c>
      <c r="D25" t="s">
        <v>30</v>
      </c>
      <c r="E25" t="s">
        <v>31</v>
      </c>
    </row>
    <row r="26" spans="1:9">
      <c r="A26" t="s">
        <v>72</v>
      </c>
      <c r="B26" t="str">
        <f>"10673342243447512925"</f>
        <v>10673342243447512925</v>
      </c>
      <c r="C26" t="s">
        <v>6</v>
      </c>
      <c r="D26" t="s">
        <v>73</v>
      </c>
      <c r="E26" t="s">
        <v>74</v>
      </c>
      <c r="F26" t="s">
        <v>84</v>
      </c>
      <c r="G26" t="s">
        <v>1648</v>
      </c>
      <c r="H26" t="s">
        <v>87</v>
      </c>
      <c r="I26" s="1" t="s">
        <v>95</v>
      </c>
    </row>
    <row r="27" spans="1:9">
      <c r="A27" t="s">
        <v>75</v>
      </c>
      <c r="B27" t="str">
        <f>"10677462254022064936"</f>
        <v>10677462254022064936</v>
      </c>
      <c r="C27" t="s">
        <v>6</v>
      </c>
      <c r="D27" t="s">
        <v>76</v>
      </c>
      <c r="E27" t="s">
        <v>77</v>
      </c>
    </row>
    <row r="28" spans="1:9">
      <c r="A28" t="s">
        <v>78</v>
      </c>
      <c r="B28" t="str">
        <f>"10673342233499411594"</f>
        <v>10673342233499411594</v>
      </c>
      <c r="C28" t="s">
        <v>6</v>
      </c>
      <c r="D28" t="s">
        <v>79</v>
      </c>
      <c r="E28" t="s">
        <v>80</v>
      </c>
    </row>
    <row r="29" spans="1:9">
      <c r="A29" t="s">
        <v>81</v>
      </c>
      <c r="B29" t="str">
        <f>"10673342243432884805"</f>
        <v>10673342243432884805</v>
      </c>
      <c r="C29" t="s">
        <v>6</v>
      </c>
      <c r="D29" t="s">
        <v>82</v>
      </c>
      <c r="E29" t="s">
        <v>83</v>
      </c>
      <c r="F29" t="s">
        <v>84</v>
      </c>
      <c r="G29" t="s">
        <v>1647</v>
      </c>
      <c r="H29" t="s">
        <v>87</v>
      </c>
      <c r="I29" s="1" t="s">
        <v>95</v>
      </c>
    </row>
    <row r="38" spans="1:7">
      <c r="A38" s="5" t="s">
        <v>1644</v>
      </c>
      <c r="B38" t="s">
        <v>1645</v>
      </c>
    </row>
    <row r="39" spans="1:7">
      <c r="A39" s="1" t="s">
        <v>0</v>
      </c>
      <c r="B39" s="1" t="s">
        <v>96</v>
      </c>
      <c r="C39" s="1" t="s">
        <v>97</v>
      </c>
      <c r="D39" s="1" t="s">
        <v>2</v>
      </c>
      <c r="E39" s="1" t="s">
        <v>3</v>
      </c>
      <c r="F39" s="1" t="s">
        <v>4</v>
      </c>
      <c r="G39" s="1"/>
    </row>
    <row r="40" spans="1:7">
      <c r="A40" t="s">
        <v>98</v>
      </c>
      <c r="B40" t="str">
        <f>"10611601121010005140"</f>
        <v>10611601121010005140</v>
      </c>
      <c r="C40" s="4">
        <v>45712</v>
      </c>
      <c r="D40" t="s">
        <v>99</v>
      </c>
      <c r="E40" t="s">
        <v>12</v>
      </c>
      <c r="F40" t="s">
        <v>12</v>
      </c>
    </row>
    <row r="41" spans="1:7">
      <c r="A41" t="s">
        <v>100</v>
      </c>
      <c r="B41" t="str">
        <f>"10673342253420415128"</f>
        <v>10673342253420415128</v>
      </c>
      <c r="C41" s="4">
        <v>45706</v>
      </c>
      <c r="D41" t="s">
        <v>99</v>
      </c>
      <c r="E41" t="s">
        <v>12</v>
      </c>
      <c r="F41" t="s">
        <v>12</v>
      </c>
    </row>
    <row r="42" spans="1:7">
      <c r="A42" t="s">
        <v>101</v>
      </c>
      <c r="B42" t="str">
        <f>"10611601121010005140"</f>
        <v>10611601121010005140</v>
      </c>
      <c r="C42" s="4">
        <v>45882</v>
      </c>
      <c r="D42" t="s">
        <v>99</v>
      </c>
      <c r="E42" t="s">
        <v>12</v>
      </c>
      <c r="F42" t="s">
        <v>12</v>
      </c>
    </row>
    <row r="43" spans="1:7">
      <c r="A43" t="s">
        <v>102</v>
      </c>
      <c r="B43" t="str">
        <f>"10611601121010005140"</f>
        <v>10611601121010005140</v>
      </c>
      <c r="C43" s="4">
        <v>45473</v>
      </c>
      <c r="D43" t="s">
        <v>99</v>
      </c>
      <c r="E43" t="s">
        <v>12</v>
      </c>
      <c r="F43" t="s">
        <v>12</v>
      </c>
    </row>
    <row r="44" spans="1:7">
      <c r="A44" t="s">
        <v>103</v>
      </c>
      <c r="B44" t="str">
        <f>"10673342243425915369"</f>
        <v>10673342243425915369</v>
      </c>
      <c r="C44" s="4">
        <v>45372</v>
      </c>
      <c r="D44" t="s">
        <v>99</v>
      </c>
      <c r="E44" t="s">
        <v>12</v>
      </c>
      <c r="F44" t="s">
        <v>12</v>
      </c>
    </row>
    <row r="45" spans="1:7">
      <c r="A45" t="s">
        <v>104</v>
      </c>
      <c r="B45" t="str">
        <f>"10673342243426038067"</f>
        <v>10673342243426038067</v>
      </c>
      <c r="C45" s="4">
        <v>45373</v>
      </c>
      <c r="D45" t="s">
        <v>99</v>
      </c>
      <c r="E45" t="s">
        <v>12</v>
      </c>
      <c r="F45" t="s">
        <v>12</v>
      </c>
    </row>
    <row r="46" spans="1:7">
      <c r="A46" t="s">
        <v>105</v>
      </c>
      <c r="B46" t="str">
        <f>"10673342243411545335"</f>
        <v>10673342243411545335</v>
      </c>
      <c r="C46" s="4">
        <v>45320</v>
      </c>
      <c r="D46" t="s">
        <v>99</v>
      </c>
      <c r="E46" t="s">
        <v>12</v>
      </c>
      <c r="F46" t="s">
        <v>12</v>
      </c>
    </row>
    <row r="47" spans="1:7">
      <c r="A47" t="s">
        <v>106</v>
      </c>
      <c r="B47" t="str">
        <f>"10673342243426343512"</f>
        <v>10673342243426343512</v>
      </c>
      <c r="C47" s="4">
        <v>45376</v>
      </c>
      <c r="D47" t="s">
        <v>99</v>
      </c>
      <c r="E47" t="s">
        <v>12</v>
      </c>
      <c r="F47" t="s">
        <v>12</v>
      </c>
    </row>
    <row r="48" spans="1:7">
      <c r="A48" t="s">
        <v>107</v>
      </c>
      <c r="B48" t="str">
        <f>"10673342243425751854"</f>
        <v>10673342243425751854</v>
      </c>
      <c r="C48" s="4">
        <v>45372</v>
      </c>
      <c r="D48" t="s">
        <v>99</v>
      </c>
      <c r="E48" t="s">
        <v>12</v>
      </c>
      <c r="F48" t="s">
        <v>12</v>
      </c>
    </row>
    <row r="49" spans="1:6">
      <c r="A49" t="s">
        <v>108</v>
      </c>
      <c r="B49" t="str">
        <f>"10673342243425686890"</f>
        <v>10673342243425686890</v>
      </c>
      <c r="C49" s="4">
        <v>45372</v>
      </c>
      <c r="D49" t="s">
        <v>99</v>
      </c>
      <c r="E49" t="s">
        <v>12</v>
      </c>
      <c r="F49" t="s">
        <v>12</v>
      </c>
    </row>
    <row r="50" spans="1:6">
      <c r="A50" t="s">
        <v>109</v>
      </c>
      <c r="B50" t="str">
        <f>"10673342243425686890"</f>
        <v>10673342243425686890</v>
      </c>
      <c r="C50" s="4">
        <v>45372</v>
      </c>
      <c r="D50" t="s">
        <v>99</v>
      </c>
      <c r="E50" t="s">
        <v>12</v>
      </c>
      <c r="F50" t="s">
        <v>12</v>
      </c>
    </row>
    <row r="51" spans="1:6">
      <c r="A51" t="s">
        <v>110</v>
      </c>
      <c r="B51" t="str">
        <f>"10673342243425686890"</f>
        <v>10673342243425686890</v>
      </c>
      <c r="C51" s="4">
        <v>45372</v>
      </c>
      <c r="D51" t="s">
        <v>99</v>
      </c>
      <c r="E51" t="s">
        <v>12</v>
      </c>
      <c r="F51" t="s">
        <v>12</v>
      </c>
    </row>
    <row r="52" spans="1:6">
      <c r="A52" t="s">
        <v>111</v>
      </c>
      <c r="B52" t="str">
        <f>"10673342243425685223"</f>
        <v>10673342243425685223</v>
      </c>
      <c r="C52" s="4">
        <v>45372</v>
      </c>
      <c r="D52" t="s">
        <v>99</v>
      </c>
      <c r="E52" t="s">
        <v>12</v>
      </c>
      <c r="F52" t="s">
        <v>12</v>
      </c>
    </row>
    <row r="53" spans="1:6">
      <c r="A53" t="s">
        <v>112</v>
      </c>
      <c r="B53" t="str">
        <f>"10673342243424643381"</f>
        <v>10673342243424643381</v>
      </c>
      <c r="C53" s="4">
        <v>45366</v>
      </c>
      <c r="D53" t="s">
        <v>99</v>
      </c>
      <c r="E53" t="s">
        <v>12</v>
      </c>
      <c r="F53" t="s">
        <v>12</v>
      </c>
    </row>
    <row r="54" spans="1:6">
      <c r="A54" t="s">
        <v>113</v>
      </c>
      <c r="B54" t="str">
        <f>"10673342243424781444"</f>
        <v>10673342243424781444</v>
      </c>
      <c r="C54" s="4">
        <v>45369</v>
      </c>
      <c r="D54" t="s">
        <v>99</v>
      </c>
      <c r="E54" t="s">
        <v>12</v>
      </c>
      <c r="F54" t="s">
        <v>12</v>
      </c>
    </row>
    <row r="55" spans="1:6">
      <c r="A55" t="s">
        <v>114</v>
      </c>
      <c r="B55" t="str">
        <f>"10673342243424781512"</f>
        <v>10673342243424781512</v>
      </c>
      <c r="C55" s="4">
        <v>45369</v>
      </c>
      <c r="D55" t="s">
        <v>99</v>
      </c>
      <c r="E55" t="s">
        <v>12</v>
      </c>
      <c r="F55" t="s">
        <v>12</v>
      </c>
    </row>
    <row r="56" spans="1:6">
      <c r="A56" t="s">
        <v>115</v>
      </c>
      <c r="B56" t="str">
        <f>"10673342243424643381"</f>
        <v>10673342243424643381</v>
      </c>
      <c r="C56" s="4">
        <v>45366</v>
      </c>
      <c r="D56" t="s">
        <v>99</v>
      </c>
      <c r="E56" t="s">
        <v>12</v>
      </c>
      <c r="F56" t="s">
        <v>12</v>
      </c>
    </row>
    <row r="57" spans="1:6">
      <c r="A57" t="s">
        <v>116</v>
      </c>
      <c r="B57" t="str">
        <f>"10673342243424781444"</f>
        <v>10673342243424781444</v>
      </c>
      <c r="C57" s="4">
        <v>45369</v>
      </c>
      <c r="D57" t="s">
        <v>99</v>
      </c>
      <c r="E57" t="s">
        <v>12</v>
      </c>
      <c r="F57" t="s">
        <v>12</v>
      </c>
    </row>
    <row r="58" spans="1:6">
      <c r="A58" t="s">
        <v>117</v>
      </c>
      <c r="B58" t="str">
        <f>"10673342243424781512"</f>
        <v>10673342243424781512</v>
      </c>
      <c r="C58" s="4">
        <v>45369</v>
      </c>
      <c r="D58" t="s">
        <v>99</v>
      </c>
      <c r="E58" t="s">
        <v>12</v>
      </c>
      <c r="F58" t="s">
        <v>12</v>
      </c>
    </row>
    <row r="59" spans="1:6">
      <c r="A59" t="s">
        <v>118</v>
      </c>
      <c r="B59" t="str">
        <f>"10673342243426255631"</f>
        <v>10673342243426255631</v>
      </c>
      <c r="C59" s="4">
        <v>45373</v>
      </c>
      <c r="D59" t="s">
        <v>99</v>
      </c>
      <c r="E59" t="s">
        <v>12</v>
      </c>
      <c r="F59" t="s">
        <v>12</v>
      </c>
    </row>
    <row r="60" spans="1:6">
      <c r="A60" t="s">
        <v>119</v>
      </c>
      <c r="B60" t="str">
        <f>"10673342243425751854"</f>
        <v>10673342243425751854</v>
      </c>
      <c r="C60" s="4">
        <v>45372</v>
      </c>
      <c r="D60" t="s">
        <v>99</v>
      </c>
      <c r="E60" t="s">
        <v>12</v>
      </c>
      <c r="F60" t="s">
        <v>12</v>
      </c>
    </row>
    <row r="61" spans="1:6">
      <c r="A61" t="s">
        <v>120</v>
      </c>
      <c r="B61" t="str">
        <f>"10673342243425686890"</f>
        <v>10673342243425686890</v>
      </c>
      <c r="C61" s="4">
        <v>45372</v>
      </c>
      <c r="D61" t="s">
        <v>99</v>
      </c>
      <c r="E61" t="s">
        <v>12</v>
      </c>
      <c r="F61" t="s">
        <v>12</v>
      </c>
    </row>
    <row r="62" spans="1:6">
      <c r="A62" t="s">
        <v>121</v>
      </c>
      <c r="B62" t="str">
        <f>"10673342243425686890"</f>
        <v>10673342243425686890</v>
      </c>
      <c r="C62" s="4">
        <v>45372</v>
      </c>
      <c r="D62" t="s">
        <v>99</v>
      </c>
      <c r="E62" t="s">
        <v>12</v>
      </c>
      <c r="F62" t="s">
        <v>12</v>
      </c>
    </row>
    <row r="63" spans="1:6">
      <c r="A63" t="s">
        <v>122</v>
      </c>
      <c r="B63" t="str">
        <f>"10673342243425685223"</f>
        <v>10673342243425685223</v>
      </c>
      <c r="C63" s="4">
        <v>45372</v>
      </c>
      <c r="D63" t="s">
        <v>99</v>
      </c>
      <c r="E63" t="s">
        <v>12</v>
      </c>
      <c r="F63" t="s">
        <v>12</v>
      </c>
    </row>
    <row r="64" spans="1:6">
      <c r="A64" t="s">
        <v>123</v>
      </c>
      <c r="B64" t="str">
        <f>"10673342243424643381"</f>
        <v>10673342243424643381</v>
      </c>
      <c r="C64" s="4">
        <v>45366</v>
      </c>
      <c r="D64" t="s">
        <v>99</v>
      </c>
      <c r="E64" t="s">
        <v>12</v>
      </c>
      <c r="F64" t="s">
        <v>12</v>
      </c>
    </row>
    <row r="65" spans="1:6">
      <c r="A65" t="s">
        <v>124</v>
      </c>
      <c r="B65" t="str">
        <f>"10673342243424781444"</f>
        <v>10673342243424781444</v>
      </c>
      <c r="C65" s="4">
        <v>45369</v>
      </c>
      <c r="D65" t="s">
        <v>99</v>
      </c>
      <c r="E65" t="s">
        <v>12</v>
      </c>
      <c r="F65" t="s">
        <v>12</v>
      </c>
    </row>
    <row r="66" spans="1:6">
      <c r="A66" t="s">
        <v>125</v>
      </c>
      <c r="B66" t="str">
        <f>"10673342243424781512"</f>
        <v>10673342243424781512</v>
      </c>
      <c r="C66" s="4">
        <v>45369</v>
      </c>
      <c r="D66" t="s">
        <v>99</v>
      </c>
      <c r="E66" t="s">
        <v>12</v>
      </c>
      <c r="F66" t="s">
        <v>12</v>
      </c>
    </row>
    <row r="67" spans="1:6">
      <c r="A67" t="s">
        <v>126</v>
      </c>
      <c r="B67" t="str">
        <f>"10673342243423015778"</f>
        <v>10673342243423015778</v>
      </c>
      <c r="C67" s="4">
        <v>45358</v>
      </c>
      <c r="D67" t="s">
        <v>99</v>
      </c>
      <c r="E67" t="s">
        <v>12</v>
      </c>
      <c r="F67" t="s">
        <v>12</v>
      </c>
    </row>
    <row r="68" spans="1:6">
      <c r="A68" t="s">
        <v>127</v>
      </c>
      <c r="B68" t="str">
        <f>"10673342243423046721"</f>
        <v>10673342243423046721</v>
      </c>
      <c r="C68" s="4">
        <v>45362</v>
      </c>
      <c r="D68" t="s">
        <v>99</v>
      </c>
      <c r="E68" t="s">
        <v>12</v>
      </c>
      <c r="F68" t="s">
        <v>12</v>
      </c>
    </row>
    <row r="69" spans="1:6">
      <c r="A69" t="s">
        <v>128</v>
      </c>
      <c r="B69" t="str">
        <f>"10673342243423673856"</f>
        <v>10673342243423673856</v>
      </c>
      <c r="C69" s="4">
        <v>45363</v>
      </c>
      <c r="D69" t="s">
        <v>99</v>
      </c>
      <c r="E69" t="s">
        <v>12</v>
      </c>
      <c r="F69" t="s">
        <v>12</v>
      </c>
    </row>
    <row r="70" spans="1:6">
      <c r="A70" t="s">
        <v>129</v>
      </c>
      <c r="B70" t="str">
        <f>"10673342243426255631"</f>
        <v>10673342243426255631</v>
      </c>
      <c r="C70" s="4">
        <v>45373</v>
      </c>
      <c r="D70" t="s">
        <v>99</v>
      </c>
      <c r="E70" t="s">
        <v>12</v>
      </c>
      <c r="F70" t="s">
        <v>12</v>
      </c>
    </row>
    <row r="71" spans="1:6">
      <c r="A71" t="s">
        <v>130</v>
      </c>
      <c r="B71" t="str">
        <f>"10673342243423467156"</f>
        <v>10673342243423467156</v>
      </c>
      <c r="C71" s="4">
        <v>45363</v>
      </c>
      <c r="D71" t="s">
        <v>99</v>
      </c>
      <c r="E71" t="s">
        <v>12</v>
      </c>
      <c r="F71" t="s">
        <v>12</v>
      </c>
    </row>
    <row r="72" spans="1:6">
      <c r="A72" t="s">
        <v>131</v>
      </c>
      <c r="B72" t="str">
        <f>"10673342243418690004"</f>
        <v>10673342243418690004</v>
      </c>
      <c r="C72" s="4">
        <v>45343</v>
      </c>
      <c r="D72" t="s">
        <v>99</v>
      </c>
      <c r="E72" t="s">
        <v>12</v>
      </c>
      <c r="F72" t="s">
        <v>12</v>
      </c>
    </row>
    <row r="73" spans="1:6">
      <c r="A73" t="s">
        <v>132</v>
      </c>
      <c r="B73" t="str">
        <f>"10673342243419049620"</f>
        <v>10673342243419049620</v>
      </c>
      <c r="C73" s="4">
        <v>45344</v>
      </c>
      <c r="D73" t="s">
        <v>99</v>
      </c>
      <c r="E73" t="s">
        <v>12</v>
      </c>
      <c r="F73" t="s">
        <v>12</v>
      </c>
    </row>
    <row r="74" spans="1:6">
      <c r="A74" t="s">
        <v>133</v>
      </c>
      <c r="B74" t="str">
        <f>"10673342243419050130"</f>
        <v>10673342243419050130</v>
      </c>
      <c r="C74" s="4">
        <v>45344</v>
      </c>
      <c r="D74" t="s">
        <v>99</v>
      </c>
      <c r="E74" t="s">
        <v>12</v>
      </c>
      <c r="F74" t="s">
        <v>12</v>
      </c>
    </row>
    <row r="75" spans="1:6">
      <c r="A75" t="s">
        <v>134</v>
      </c>
      <c r="B75" t="str">
        <f>"10673342243418926814"</f>
        <v>10673342243418926814</v>
      </c>
      <c r="C75" s="4">
        <v>45344</v>
      </c>
      <c r="D75" t="s">
        <v>99</v>
      </c>
      <c r="E75" t="s">
        <v>12</v>
      </c>
      <c r="F75" t="s">
        <v>12</v>
      </c>
    </row>
    <row r="76" spans="1:6">
      <c r="A76" t="s">
        <v>135</v>
      </c>
      <c r="B76" t="str">
        <f>"10673342243419050130"</f>
        <v>10673342243419050130</v>
      </c>
      <c r="C76" s="4">
        <v>45344</v>
      </c>
      <c r="D76" t="s">
        <v>99</v>
      </c>
      <c r="E76" t="s">
        <v>12</v>
      </c>
      <c r="F76" t="s">
        <v>12</v>
      </c>
    </row>
    <row r="77" spans="1:6">
      <c r="A77" t="s">
        <v>136</v>
      </c>
      <c r="B77" t="str">
        <f>"10673342243418891220"</f>
        <v>10673342243418891220</v>
      </c>
      <c r="C77" s="4">
        <v>45344</v>
      </c>
      <c r="D77" t="s">
        <v>99</v>
      </c>
      <c r="E77" t="s">
        <v>12</v>
      </c>
      <c r="F77" t="s">
        <v>12</v>
      </c>
    </row>
    <row r="78" spans="1:6">
      <c r="A78" t="s">
        <v>137</v>
      </c>
      <c r="B78" t="str">
        <f>"10673342243421438078"</f>
        <v>10673342243421438078</v>
      </c>
      <c r="C78" s="4">
        <v>45352</v>
      </c>
      <c r="D78" t="s">
        <v>99</v>
      </c>
      <c r="E78" t="s">
        <v>12</v>
      </c>
      <c r="F78" t="s">
        <v>12</v>
      </c>
    </row>
    <row r="79" spans="1:6">
      <c r="A79" t="s">
        <v>138</v>
      </c>
      <c r="B79" t="str">
        <f>"10673342243421633571"</f>
        <v>10673342243421633571</v>
      </c>
      <c r="C79" s="4">
        <v>45355</v>
      </c>
      <c r="D79" t="s">
        <v>99</v>
      </c>
      <c r="E79" t="s">
        <v>12</v>
      </c>
      <c r="F79" t="s">
        <v>12</v>
      </c>
    </row>
    <row r="80" spans="1:6">
      <c r="A80" t="s">
        <v>139</v>
      </c>
      <c r="B80" t="str">
        <f>"10673342243421942159"</f>
        <v>10673342243421942159</v>
      </c>
      <c r="C80" s="4">
        <v>45356</v>
      </c>
      <c r="D80" t="s">
        <v>99</v>
      </c>
      <c r="E80" t="s">
        <v>12</v>
      </c>
      <c r="F80" t="s">
        <v>12</v>
      </c>
    </row>
    <row r="81" spans="1:6">
      <c r="A81" t="s">
        <v>140</v>
      </c>
      <c r="B81" t="str">
        <f>"10673342243426238867"</f>
        <v>10673342243426238867</v>
      </c>
      <c r="C81" s="4">
        <v>45373</v>
      </c>
      <c r="D81" t="s">
        <v>99</v>
      </c>
      <c r="E81" t="s">
        <v>12</v>
      </c>
      <c r="F81" t="s">
        <v>12</v>
      </c>
    </row>
    <row r="82" spans="1:6">
      <c r="A82" t="s">
        <v>141</v>
      </c>
      <c r="B82" t="str">
        <f>"10673342243419593681"</f>
        <v>10673342243419593681</v>
      </c>
      <c r="C82" s="4">
        <v>45348</v>
      </c>
      <c r="D82" t="s">
        <v>99</v>
      </c>
      <c r="E82" t="s">
        <v>12</v>
      </c>
      <c r="F82" t="s">
        <v>12</v>
      </c>
    </row>
    <row r="83" spans="1:6">
      <c r="A83" t="s">
        <v>142</v>
      </c>
      <c r="B83" t="str">
        <f>"10673342243419357538"</f>
        <v>10673342243419357538</v>
      </c>
      <c r="C83" s="4">
        <v>45348</v>
      </c>
      <c r="D83" t="s">
        <v>99</v>
      </c>
      <c r="E83" t="s">
        <v>12</v>
      </c>
      <c r="F83" t="s">
        <v>12</v>
      </c>
    </row>
    <row r="84" spans="1:6">
      <c r="A84" t="s">
        <v>143</v>
      </c>
      <c r="B84" t="str">
        <f>"10673342243419324591"</f>
        <v>10673342243419324591</v>
      </c>
      <c r="C84" s="4">
        <v>45348</v>
      </c>
      <c r="D84" t="s">
        <v>99</v>
      </c>
      <c r="E84" t="s">
        <v>12</v>
      </c>
      <c r="F84" t="s">
        <v>12</v>
      </c>
    </row>
    <row r="85" spans="1:6">
      <c r="A85" t="s">
        <v>144</v>
      </c>
      <c r="B85" t="str">
        <f>"10673342243420008517"</f>
        <v>10673342243420008517</v>
      </c>
      <c r="C85" s="4">
        <v>45349</v>
      </c>
      <c r="D85" t="s">
        <v>99</v>
      </c>
      <c r="E85" t="s">
        <v>12</v>
      </c>
      <c r="F85" t="s">
        <v>12</v>
      </c>
    </row>
    <row r="86" spans="1:6">
      <c r="A86" t="s">
        <v>145</v>
      </c>
      <c r="B86" t="str">
        <f>"10673342243419769909"</f>
        <v>10673342243419769909</v>
      </c>
      <c r="C86" s="4">
        <v>45349</v>
      </c>
      <c r="D86" t="s">
        <v>99</v>
      </c>
      <c r="E86" t="s">
        <v>12</v>
      </c>
      <c r="F86" t="s">
        <v>12</v>
      </c>
    </row>
    <row r="87" spans="1:6">
      <c r="A87" t="s">
        <v>146</v>
      </c>
      <c r="B87" t="str">
        <f>"10673342243420442398"</f>
        <v>10673342243420442398</v>
      </c>
      <c r="C87" s="4">
        <v>45350</v>
      </c>
      <c r="D87" t="s">
        <v>99</v>
      </c>
      <c r="E87" t="s">
        <v>12</v>
      </c>
      <c r="F87" t="s">
        <v>12</v>
      </c>
    </row>
    <row r="88" spans="1:6">
      <c r="A88" t="s">
        <v>147</v>
      </c>
      <c r="B88" t="str">
        <f>"10673342243420948420"</f>
        <v>10673342243420948420</v>
      </c>
      <c r="C88" s="4">
        <v>45351</v>
      </c>
      <c r="D88" t="s">
        <v>99</v>
      </c>
      <c r="E88" t="s">
        <v>12</v>
      </c>
      <c r="F88" t="s">
        <v>12</v>
      </c>
    </row>
    <row r="89" spans="1:6">
      <c r="A89" t="s">
        <v>148</v>
      </c>
      <c r="B89" t="str">
        <f>"10673342243420688399"</f>
        <v>10673342243420688399</v>
      </c>
      <c r="C89" s="4">
        <v>45351</v>
      </c>
      <c r="D89" t="s">
        <v>99</v>
      </c>
      <c r="E89" t="s">
        <v>12</v>
      </c>
      <c r="F89" t="s">
        <v>12</v>
      </c>
    </row>
    <row r="90" spans="1:6">
      <c r="A90" t="s">
        <v>149</v>
      </c>
      <c r="B90" t="str">
        <f>"10673342243420614549"</f>
        <v>10673342243420614549</v>
      </c>
      <c r="C90" s="4">
        <v>45351</v>
      </c>
      <c r="D90" t="s">
        <v>99</v>
      </c>
      <c r="E90" t="s">
        <v>12</v>
      </c>
      <c r="F90" t="s">
        <v>12</v>
      </c>
    </row>
    <row r="91" spans="1:6">
      <c r="A91" t="s">
        <v>150</v>
      </c>
      <c r="B91" t="str">
        <f>"10673342243416818151"</f>
        <v>10673342243416818151</v>
      </c>
      <c r="C91" s="4">
        <v>45337</v>
      </c>
      <c r="D91" t="s">
        <v>99</v>
      </c>
      <c r="E91" t="s">
        <v>12</v>
      </c>
      <c r="F91" t="s">
        <v>12</v>
      </c>
    </row>
    <row r="92" spans="1:6">
      <c r="A92" t="s">
        <v>151</v>
      </c>
      <c r="B92" t="str">
        <f>"10673342243426110216"</f>
        <v>10673342243426110216</v>
      </c>
      <c r="C92" s="4">
        <v>45373</v>
      </c>
      <c r="D92" t="s">
        <v>99</v>
      </c>
      <c r="E92" t="s">
        <v>12</v>
      </c>
      <c r="F92" t="s">
        <v>12</v>
      </c>
    </row>
    <row r="93" spans="1:6">
      <c r="A93" t="s">
        <v>152</v>
      </c>
      <c r="B93" t="str">
        <f>"10673342243416742317"</f>
        <v>10673342243416742317</v>
      </c>
      <c r="C93" s="4">
        <v>45337</v>
      </c>
      <c r="D93" t="s">
        <v>99</v>
      </c>
      <c r="E93" t="s">
        <v>12</v>
      </c>
      <c r="F93" t="s">
        <v>12</v>
      </c>
    </row>
    <row r="94" spans="1:6">
      <c r="A94" t="s">
        <v>153</v>
      </c>
      <c r="B94" t="str">
        <f>"10673342243417171135"</f>
        <v>10673342243417171135</v>
      </c>
      <c r="C94" s="4">
        <v>45338</v>
      </c>
      <c r="D94" t="s">
        <v>99</v>
      </c>
      <c r="E94" t="s">
        <v>12</v>
      </c>
      <c r="F94" t="s">
        <v>12</v>
      </c>
    </row>
    <row r="95" spans="1:6">
      <c r="A95" t="s">
        <v>154</v>
      </c>
      <c r="B95" t="str">
        <f>"10673342243417533487"</f>
        <v>10673342243417533487</v>
      </c>
      <c r="C95" s="4">
        <v>45341</v>
      </c>
      <c r="D95" t="s">
        <v>99</v>
      </c>
      <c r="E95" t="s">
        <v>12</v>
      </c>
      <c r="F95" t="s">
        <v>12</v>
      </c>
    </row>
    <row r="96" spans="1:6">
      <c r="A96" t="s">
        <v>155</v>
      </c>
      <c r="B96" t="str">
        <f>"10673342243417506943"</f>
        <v>10673342243417506943</v>
      </c>
      <c r="C96" s="4">
        <v>45341</v>
      </c>
      <c r="D96" t="s">
        <v>99</v>
      </c>
      <c r="E96" t="s">
        <v>12</v>
      </c>
      <c r="F96" t="s">
        <v>12</v>
      </c>
    </row>
    <row r="97" spans="1:6">
      <c r="A97" t="s">
        <v>156</v>
      </c>
      <c r="B97" t="str">
        <f>"10673342243417506943"</f>
        <v>10673342243417506943</v>
      </c>
      <c r="C97" s="4">
        <v>45341</v>
      </c>
      <c r="D97" t="s">
        <v>99</v>
      </c>
      <c r="E97" t="s">
        <v>12</v>
      </c>
      <c r="F97" t="s">
        <v>12</v>
      </c>
    </row>
    <row r="98" spans="1:6">
      <c r="A98" t="s">
        <v>157</v>
      </c>
      <c r="B98" t="str">
        <f>"10673342243418152109"</f>
        <v>10673342243418152109</v>
      </c>
      <c r="C98" s="4">
        <v>45342</v>
      </c>
      <c r="D98" t="s">
        <v>99</v>
      </c>
      <c r="E98" t="s">
        <v>12</v>
      </c>
      <c r="F98" t="s">
        <v>12</v>
      </c>
    </row>
    <row r="99" spans="1:6">
      <c r="A99" t="s">
        <v>158</v>
      </c>
      <c r="B99" t="str">
        <f>"10673342243417929674"</f>
        <v>10673342243417929674</v>
      </c>
      <c r="C99" s="4">
        <v>45342</v>
      </c>
      <c r="D99" t="s">
        <v>99</v>
      </c>
      <c r="E99" t="s">
        <v>12</v>
      </c>
      <c r="F99" t="s">
        <v>12</v>
      </c>
    </row>
    <row r="100" spans="1:6">
      <c r="A100" t="s">
        <v>159</v>
      </c>
      <c r="B100" t="str">
        <f>"10673342243418556170"</f>
        <v>10673342243418556170</v>
      </c>
      <c r="C100" s="4">
        <v>45343</v>
      </c>
      <c r="D100" t="s">
        <v>99</v>
      </c>
      <c r="E100" t="s">
        <v>12</v>
      </c>
      <c r="F100" t="s">
        <v>12</v>
      </c>
    </row>
    <row r="101" spans="1:6">
      <c r="A101" t="s">
        <v>160</v>
      </c>
      <c r="B101" t="str">
        <f>"10673342243418466937"</f>
        <v>10673342243418466937</v>
      </c>
      <c r="C101" s="4">
        <v>45343</v>
      </c>
      <c r="D101" t="s">
        <v>99</v>
      </c>
      <c r="E101" t="s">
        <v>12</v>
      </c>
      <c r="F101" t="s">
        <v>12</v>
      </c>
    </row>
    <row r="102" spans="1:6">
      <c r="A102" t="s">
        <v>161</v>
      </c>
      <c r="B102" t="str">
        <f>"10673342243418357542"</f>
        <v>10673342243418357542</v>
      </c>
      <c r="C102" s="4">
        <v>45343</v>
      </c>
      <c r="D102" t="s">
        <v>99</v>
      </c>
      <c r="E102" t="s">
        <v>12</v>
      </c>
      <c r="F102" t="s">
        <v>12</v>
      </c>
    </row>
    <row r="103" spans="1:6">
      <c r="A103" t="s">
        <v>162</v>
      </c>
      <c r="B103" t="str">
        <f>"10673342243426064184"</f>
        <v>10673342243426064184</v>
      </c>
      <c r="C103" s="4">
        <v>45373</v>
      </c>
      <c r="D103" t="s">
        <v>99</v>
      </c>
      <c r="E103" t="s">
        <v>12</v>
      </c>
      <c r="F103" t="s">
        <v>12</v>
      </c>
    </row>
    <row r="104" spans="1:6">
      <c r="A104" t="s">
        <v>163</v>
      </c>
      <c r="B104" t="str">
        <f>"10673342243414976140"</f>
        <v>10673342243414976140</v>
      </c>
      <c r="C104" s="4">
        <v>45331</v>
      </c>
      <c r="D104" t="s">
        <v>99</v>
      </c>
      <c r="E104" t="s">
        <v>12</v>
      </c>
      <c r="F104" t="s">
        <v>12</v>
      </c>
    </row>
    <row r="105" spans="1:6">
      <c r="A105" t="s">
        <v>164</v>
      </c>
      <c r="B105" t="str">
        <f>"10673342243416068608"</f>
        <v>10673342243416068608</v>
      </c>
      <c r="C105" s="4">
        <v>45335</v>
      </c>
      <c r="D105" t="s">
        <v>99</v>
      </c>
      <c r="E105" t="s">
        <v>12</v>
      </c>
      <c r="F105" t="s">
        <v>12</v>
      </c>
    </row>
    <row r="106" spans="1:6">
      <c r="A106" t="s">
        <v>165</v>
      </c>
      <c r="B106" t="str">
        <f>"10673342243415929693"</f>
        <v>10673342243415929693</v>
      </c>
      <c r="C106" s="4">
        <v>45335</v>
      </c>
      <c r="D106" t="s">
        <v>99</v>
      </c>
      <c r="E106" t="s">
        <v>12</v>
      </c>
      <c r="F106" t="s">
        <v>12</v>
      </c>
    </row>
    <row r="107" spans="1:6">
      <c r="A107" t="s">
        <v>166</v>
      </c>
      <c r="B107" t="str">
        <f>"10673342243415868287"</f>
        <v>10673342243415868287</v>
      </c>
      <c r="C107" s="4">
        <v>45335</v>
      </c>
      <c r="D107" t="s">
        <v>99</v>
      </c>
      <c r="E107" t="s">
        <v>12</v>
      </c>
      <c r="F107" t="s">
        <v>12</v>
      </c>
    </row>
    <row r="108" spans="1:6">
      <c r="A108" t="s">
        <v>167</v>
      </c>
      <c r="B108" t="str">
        <f>"10673342243416589896"</f>
        <v>10673342243416589896</v>
      </c>
      <c r="C108" s="4">
        <v>45336</v>
      </c>
      <c r="D108" t="s">
        <v>99</v>
      </c>
      <c r="E108" t="s">
        <v>12</v>
      </c>
      <c r="F108" t="s">
        <v>12</v>
      </c>
    </row>
    <row r="109" spans="1:6">
      <c r="A109" t="s">
        <v>168</v>
      </c>
      <c r="B109" t="str">
        <f>"10673342243413324654"</f>
        <v>10673342243413324654</v>
      </c>
      <c r="C109" s="4">
        <v>45324</v>
      </c>
      <c r="D109" t="s">
        <v>99</v>
      </c>
      <c r="E109" t="s">
        <v>12</v>
      </c>
      <c r="F109" t="s">
        <v>12</v>
      </c>
    </row>
    <row r="110" spans="1:6">
      <c r="A110" t="s">
        <v>169</v>
      </c>
      <c r="B110" t="str">
        <f>"10673342243413324433"</f>
        <v>10673342243413324433</v>
      </c>
      <c r="C110" s="4">
        <v>45324</v>
      </c>
      <c r="D110" t="s">
        <v>99</v>
      </c>
      <c r="E110" t="s">
        <v>12</v>
      </c>
      <c r="F110" t="s">
        <v>12</v>
      </c>
    </row>
    <row r="111" spans="1:6">
      <c r="A111" t="s">
        <v>170</v>
      </c>
      <c r="B111" t="str">
        <f>"10673342243413208310"</f>
        <v>10673342243413208310</v>
      </c>
      <c r="C111" s="4">
        <v>45324</v>
      </c>
      <c r="D111" t="s">
        <v>99</v>
      </c>
      <c r="E111" t="s">
        <v>12</v>
      </c>
      <c r="F111" t="s">
        <v>12</v>
      </c>
    </row>
    <row r="112" spans="1:6">
      <c r="A112" t="s">
        <v>171</v>
      </c>
      <c r="B112" t="str">
        <f>"10673342243413763917"</f>
        <v>10673342243413763917</v>
      </c>
      <c r="C112" s="4">
        <v>45327</v>
      </c>
      <c r="D112" t="s">
        <v>99</v>
      </c>
      <c r="E112" t="s">
        <v>12</v>
      </c>
      <c r="F112" t="s">
        <v>12</v>
      </c>
    </row>
    <row r="113" spans="1:6">
      <c r="A113" t="s">
        <v>172</v>
      </c>
      <c r="B113" t="str">
        <f>"10673342243413725063"</f>
        <v>10673342243413725063</v>
      </c>
      <c r="C113" s="4">
        <v>45327</v>
      </c>
      <c r="D113" t="s">
        <v>99</v>
      </c>
      <c r="E113" t="s">
        <v>12</v>
      </c>
      <c r="F113" t="s">
        <v>12</v>
      </c>
    </row>
    <row r="114" spans="1:6">
      <c r="A114" t="s">
        <v>173</v>
      </c>
      <c r="B114" t="str">
        <f>"10673342243426064184"</f>
        <v>10673342243426064184</v>
      </c>
      <c r="C114" s="4">
        <v>45373</v>
      </c>
      <c r="D114" t="s">
        <v>99</v>
      </c>
      <c r="E114" t="s">
        <v>12</v>
      </c>
      <c r="F114" t="s">
        <v>12</v>
      </c>
    </row>
    <row r="115" spans="1:6">
      <c r="A115" t="s">
        <v>174</v>
      </c>
      <c r="B115" t="str">
        <f>"10673342243413518866"</f>
        <v>10673342243413518866</v>
      </c>
      <c r="C115" s="4">
        <v>45327</v>
      </c>
      <c r="D115" t="s">
        <v>99</v>
      </c>
      <c r="E115" t="s">
        <v>12</v>
      </c>
      <c r="F115" t="s">
        <v>12</v>
      </c>
    </row>
    <row r="116" spans="1:6">
      <c r="A116" t="s">
        <v>175</v>
      </c>
      <c r="B116" t="str">
        <f>"10673342243413615616"</f>
        <v>10673342243413615616</v>
      </c>
      <c r="C116" s="4">
        <v>45327</v>
      </c>
      <c r="D116" t="s">
        <v>99</v>
      </c>
      <c r="E116" t="s">
        <v>12</v>
      </c>
      <c r="F116" t="s">
        <v>12</v>
      </c>
    </row>
    <row r="117" spans="1:6">
      <c r="A117" t="s">
        <v>176</v>
      </c>
      <c r="B117" t="str">
        <f>"10673342243413472369"</f>
        <v>10673342243413472369</v>
      </c>
      <c r="C117" s="4">
        <v>45327</v>
      </c>
      <c r="D117" t="s">
        <v>99</v>
      </c>
      <c r="E117" t="s">
        <v>12</v>
      </c>
      <c r="F117" t="s">
        <v>12</v>
      </c>
    </row>
    <row r="118" spans="1:6">
      <c r="A118" t="s">
        <v>177</v>
      </c>
      <c r="B118" t="str">
        <f>"10673342243413373302"</f>
        <v>10673342243413373302</v>
      </c>
      <c r="C118" s="4">
        <v>45327</v>
      </c>
      <c r="D118" t="s">
        <v>99</v>
      </c>
      <c r="E118" t="s">
        <v>12</v>
      </c>
      <c r="F118" t="s">
        <v>12</v>
      </c>
    </row>
    <row r="119" spans="1:6">
      <c r="A119" t="s">
        <v>178</v>
      </c>
      <c r="B119" t="str">
        <f>"10673342243413337903"</f>
        <v>10673342243413337903</v>
      </c>
      <c r="C119" s="4">
        <v>45327</v>
      </c>
      <c r="D119" t="s">
        <v>99</v>
      </c>
      <c r="E119" t="s">
        <v>12</v>
      </c>
      <c r="F119" t="s">
        <v>12</v>
      </c>
    </row>
    <row r="120" spans="1:6">
      <c r="A120" t="s">
        <v>179</v>
      </c>
      <c r="B120" t="str">
        <f>"10673342243414066705"</f>
        <v>10673342243414066705</v>
      </c>
      <c r="C120" s="4">
        <v>45329</v>
      </c>
      <c r="D120" t="s">
        <v>99</v>
      </c>
      <c r="E120" t="s">
        <v>12</v>
      </c>
      <c r="F120" t="s">
        <v>12</v>
      </c>
    </row>
    <row r="121" spans="1:6">
      <c r="A121" t="s">
        <v>180</v>
      </c>
      <c r="B121" t="str">
        <f>"10673342243414892753"</f>
        <v>10673342243414892753</v>
      </c>
      <c r="C121" s="4">
        <v>45330</v>
      </c>
      <c r="D121" t="s">
        <v>99</v>
      </c>
      <c r="E121" t="s">
        <v>12</v>
      </c>
      <c r="F121" t="s">
        <v>12</v>
      </c>
    </row>
    <row r="122" spans="1:6">
      <c r="A122" t="s">
        <v>181</v>
      </c>
      <c r="B122" t="str">
        <f>"10673342243414734910"</f>
        <v>10673342243414734910</v>
      </c>
      <c r="C122" s="4">
        <v>45330</v>
      </c>
      <c r="D122" t="s">
        <v>99</v>
      </c>
      <c r="E122" t="s">
        <v>12</v>
      </c>
      <c r="F122" t="s">
        <v>12</v>
      </c>
    </row>
    <row r="123" spans="1:6">
      <c r="A123" t="s">
        <v>182</v>
      </c>
      <c r="B123" t="str">
        <f>"10673342243414628169"</f>
        <v>10673342243414628169</v>
      </c>
      <c r="C123" s="4">
        <v>45330</v>
      </c>
      <c r="D123" t="s">
        <v>99</v>
      </c>
      <c r="E123" t="s">
        <v>12</v>
      </c>
      <c r="F123" t="s">
        <v>12</v>
      </c>
    </row>
    <row r="124" spans="1:6">
      <c r="A124" t="s">
        <v>183</v>
      </c>
      <c r="B124" t="str">
        <f>"10673342243414596819"</f>
        <v>10673342243414596819</v>
      </c>
      <c r="C124" s="4">
        <v>45330</v>
      </c>
      <c r="D124" t="s">
        <v>99</v>
      </c>
      <c r="E124" t="s">
        <v>12</v>
      </c>
      <c r="F124" t="s">
        <v>12</v>
      </c>
    </row>
    <row r="125" spans="1:6">
      <c r="A125" t="s">
        <v>184</v>
      </c>
      <c r="B125" t="str">
        <f>"10673342243426064184"</f>
        <v>10673342243426064184</v>
      </c>
      <c r="C125" s="4">
        <v>45373</v>
      </c>
      <c r="D125" t="s">
        <v>99</v>
      </c>
      <c r="E125" t="s">
        <v>12</v>
      </c>
      <c r="F125" t="s">
        <v>12</v>
      </c>
    </row>
    <row r="126" spans="1:6">
      <c r="A126" t="s">
        <v>185</v>
      </c>
      <c r="B126" t="str">
        <f>"10673342243414497471"</f>
        <v>10673342243414497471</v>
      </c>
      <c r="C126" s="4">
        <v>45330</v>
      </c>
      <c r="D126" t="s">
        <v>99</v>
      </c>
      <c r="E126" t="s">
        <v>12</v>
      </c>
      <c r="F126" t="s">
        <v>12</v>
      </c>
    </row>
    <row r="127" spans="1:6">
      <c r="A127" t="s">
        <v>186</v>
      </c>
      <c r="B127" t="str">
        <f>"10673342243414487336"</f>
        <v>10673342243414487336</v>
      </c>
      <c r="C127" s="4">
        <v>45330</v>
      </c>
      <c r="D127" t="s">
        <v>99</v>
      </c>
      <c r="E127" t="s">
        <v>12</v>
      </c>
      <c r="F127" t="s">
        <v>12</v>
      </c>
    </row>
    <row r="128" spans="1:6">
      <c r="A128" t="s">
        <v>187</v>
      </c>
      <c r="B128" t="str">
        <f>"10673342243414484280"</f>
        <v>10673342243414484280</v>
      </c>
      <c r="C128" s="4">
        <v>45330</v>
      </c>
      <c r="D128" t="s">
        <v>99</v>
      </c>
      <c r="E128" t="s">
        <v>12</v>
      </c>
      <c r="F128" t="s">
        <v>12</v>
      </c>
    </row>
    <row r="129" spans="1:6">
      <c r="A129" t="s">
        <v>188</v>
      </c>
      <c r="B129" t="str">
        <f>"10673342243414466894"</f>
        <v>10673342243414466894</v>
      </c>
      <c r="C129" s="4">
        <v>45330</v>
      </c>
      <c r="D129" t="s">
        <v>99</v>
      </c>
      <c r="E129" t="s">
        <v>12</v>
      </c>
      <c r="F129" t="s">
        <v>12</v>
      </c>
    </row>
    <row r="130" spans="1:6">
      <c r="A130" t="s">
        <v>189</v>
      </c>
      <c r="B130" t="str">
        <f>"10673342243414426884"</f>
        <v>10673342243414426884</v>
      </c>
      <c r="C130" s="4">
        <v>45330</v>
      </c>
      <c r="D130" t="s">
        <v>99</v>
      </c>
      <c r="E130" t="s">
        <v>12</v>
      </c>
      <c r="F130" t="s">
        <v>12</v>
      </c>
    </row>
    <row r="131" spans="1:6">
      <c r="A131" t="s">
        <v>190</v>
      </c>
      <c r="B131" t="str">
        <f>"10673342243409857813"</f>
        <v>10673342243409857813</v>
      </c>
      <c r="C131" s="4">
        <v>45314</v>
      </c>
      <c r="D131" t="s">
        <v>99</v>
      </c>
      <c r="E131" t="s">
        <v>12</v>
      </c>
      <c r="F131" t="s">
        <v>12</v>
      </c>
    </row>
    <row r="132" spans="1:6">
      <c r="A132" t="s">
        <v>191</v>
      </c>
      <c r="B132" t="str">
        <f>"10673342243411379222"</f>
        <v>10673342243411379222</v>
      </c>
      <c r="C132" s="4">
        <v>45317</v>
      </c>
      <c r="D132" t="s">
        <v>99</v>
      </c>
      <c r="E132" t="s">
        <v>12</v>
      </c>
      <c r="F132" t="s">
        <v>12</v>
      </c>
    </row>
    <row r="133" spans="1:6">
      <c r="A133" t="s">
        <v>192</v>
      </c>
      <c r="B133" t="str">
        <f>"10673342243411355455"</f>
        <v>10673342243411355455</v>
      </c>
      <c r="C133" s="4">
        <v>45317</v>
      </c>
      <c r="D133" t="s">
        <v>99</v>
      </c>
      <c r="E133" t="s">
        <v>12</v>
      </c>
      <c r="F133" t="s">
        <v>12</v>
      </c>
    </row>
    <row r="134" spans="1:6">
      <c r="A134" t="s">
        <v>193</v>
      </c>
      <c r="B134" t="str">
        <f>"10673342243411323782"</f>
        <v>10673342243411323782</v>
      </c>
      <c r="C134" s="4">
        <v>45317</v>
      </c>
      <c r="D134" t="s">
        <v>99</v>
      </c>
      <c r="E134" t="s">
        <v>12</v>
      </c>
      <c r="F134" t="s">
        <v>12</v>
      </c>
    </row>
    <row r="135" spans="1:6">
      <c r="A135" t="s">
        <v>194</v>
      </c>
      <c r="B135" t="str">
        <f>"10673342243411562299"</f>
        <v>10673342243411562299</v>
      </c>
      <c r="C135" s="4">
        <v>45320</v>
      </c>
      <c r="D135" t="s">
        <v>99</v>
      </c>
      <c r="E135" t="s">
        <v>12</v>
      </c>
      <c r="F135" t="s">
        <v>12</v>
      </c>
    </row>
    <row r="136" spans="1:6">
      <c r="A136" t="s">
        <v>195</v>
      </c>
      <c r="B136" t="str">
        <f>"10673342243411542085"</f>
        <v>10673342243411542085</v>
      </c>
      <c r="C136" s="4">
        <v>45320</v>
      </c>
      <c r="D136" t="s">
        <v>99</v>
      </c>
      <c r="E136" t="s">
        <v>12</v>
      </c>
      <c r="F136" t="s">
        <v>12</v>
      </c>
    </row>
    <row r="137" spans="1:6">
      <c r="A137" t="s">
        <v>196</v>
      </c>
      <c r="B137" t="str">
        <f>"10673342243411542085"</f>
        <v>10673342243411542085</v>
      </c>
      <c r="C137" s="4">
        <v>45320</v>
      </c>
      <c r="D137" t="s">
        <v>99</v>
      </c>
      <c r="E137" t="s">
        <v>12</v>
      </c>
      <c r="F137" t="s">
        <v>12</v>
      </c>
    </row>
    <row r="138" spans="1:6">
      <c r="A138" t="s">
        <v>197</v>
      </c>
      <c r="B138" t="str">
        <f>"10673342243411540848"</f>
        <v>10673342243411540848</v>
      </c>
      <c r="C138" s="4">
        <v>45320</v>
      </c>
      <c r="D138" t="s">
        <v>99</v>
      </c>
      <c r="E138" t="s">
        <v>12</v>
      </c>
      <c r="F138" t="s">
        <v>12</v>
      </c>
    </row>
    <row r="139" spans="1:6">
      <c r="A139" t="s">
        <v>198</v>
      </c>
      <c r="B139" t="str">
        <f>"10673342243411501591"</f>
        <v>10673342243411501591</v>
      </c>
      <c r="C139" s="4">
        <v>45320</v>
      </c>
      <c r="D139" t="s">
        <v>99</v>
      </c>
      <c r="E139" t="s">
        <v>12</v>
      </c>
      <c r="F139" t="s">
        <v>12</v>
      </c>
    </row>
    <row r="140" spans="1:6">
      <c r="A140" t="s">
        <v>199</v>
      </c>
      <c r="B140" t="str">
        <f>"10673342243412895666"</f>
        <v>10673342243412895666</v>
      </c>
      <c r="C140" s="4">
        <v>45323</v>
      </c>
      <c r="D140" t="s">
        <v>99</v>
      </c>
      <c r="E140" t="s">
        <v>12</v>
      </c>
      <c r="F140" t="s">
        <v>12</v>
      </c>
    </row>
    <row r="141" spans="1:6">
      <c r="A141" t="s">
        <v>200</v>
      </c>
      <c r="B141" t="str">
        <f>"10673342243409099102"</f>
        <v>10673342243409099102</v>
      </c>
      <c r="C141" s="4">
        <v>45310</v>
      </c>
      <c r="D141" t="s">
        <v>99</v>
      </c>
      <c r="E141" t="s">
        <v>12</v>
      </c>
      <c r="F141" t="s">
        <v>12</v>
      </c>
    </row>
    <row r="142" spans="1:6">
      <c r="A142" t="s">
        <v>201</v>
      </c>
      <c r="B142" t="str">
        <f>"10673342243409000394"</f>
        <v>10673342243409000394</v>
      </c>
      <c r="C142" s="4">
        <v>45310</v>
      </c>
      <c r="D142" t="s">
        <v>99</v>
      </c>
      <c r="E142" t="s">
        <v>12</v>
      </c>
      <c r="F142" t="s">
        <v>12</v>
      </c>
    </row>
    <row r="143" spans="1:6">
      <c r="A143" t="s">
        <v>202</v>
      </c>
      <c r="B143" t="str">
        <f>"10673342243409658799"</f>
        <v>10673342243409658799</v>
      </c>
      <c r="C143" s="4">
        <v>45313</v>
      </c>
      <c r="D143" t="s">
        <v>99</v>
      </c>
      <c r="E143" t="s">
        <v>12</v>
      </c>
      <c r="F143" t="s">
        <v>12</v>
      </c>
    </row>
    <row r="144" spans="1:6">
      <c r="A144" t="s">
        <v>203</v>
      </c>
      <c r="B144" t="str">
        <f>"10673342243409427894"</f>
        <v>10673342243409427894</v>
      </c>
      <c r="C144" s="4">
        <v>45313</v>
      </c>
      <c r="D144" t="s">
        <v>99</v>
      </c>
      <c r="E144" t="s">
        <v>12</v>
      </c>
      <c r="F144" t="s">
        <v>12</v>
      </c>
    </row>
    <row r="145" spans="1:6">
      <c r="A145" t="s">
        <v>204</v>
      </c>
      <c r="B145" t="str">
        <f>"10673342243409366372"</f>
        <v>10673342243409366372</v>
      </c>
      <c r="C145" s="4">
        <v>45313</v>
      </c>
      <c r="D145" t="s">
        <v>99</v>
      </c>
      <c r="E145" t="s">
        <v>12</v>
      </c>
      <c r="F145" t="s">
        <v>12</v>
      </c>
    </row>
    <row r="146" spans="1:6">
      <c r="A146" t="s">
        <v>205</v>
      </c>
      <c r="B146" t="str">
        <f>"10673342243409375851"</f>
        <v>10673342243409375851</v>
      </c>
      <c r="C146" s="4">
        <v>45313</v>
      </c>
      <c r="D146" t="s">
        <v>99</v>
      </c>
      <c r="E146" t="s">
        <v>12</v>
      </c>
      <c r="F146" t="s">
        <v>12</v>
      </c>
    </row>
    <row r="147" spans="1:6">
      <c r="A147" t="s">
        <v>206</v>
      </c>
      <c r="B147" t="str">
        <f>"10673342243410269121"</f>
        <v>10673342243410269121</v>
      </c>
      <c r="C147" s="4">
        <v>45314</v>
      </c>
      <c r="D147" t="s">
        <v>99</v>
      </c>
      <c r="E147" t="s">
        <v>12</v>
      </c>
      <c r="F147" t="s">
        <v>12</v>
      </c>
    </row>
    <row r="148" spans="1:6">
      <c r="A148" t="s">
        <v>207</v>
      </c>
      <c r="B148" t="str">
        <f>"10673342243410230543"</f>
        <v>10673342243410230543</v>
      </c>
      <c r="C148" s="4">
        <v>45314</v>
      </c>
      <c r="D148" t="s">
        <v>99</v>
      </c>
      <c r="E148" t="s">
        <v>12</v>
      </c>
      <c r="F148" t="s">
        <v>12</v>
      </c>
    </row>
    <row r="149" spans="1:6">
      <c r="A149" t="s">
        <v>208</v>
      </c>
      <c r="B149" t="str">
        <f>"10673342243410070525"</f>
        <v>10673342243410070525</v>
      </c>
      <c r="C149" s="4">
        <v>45314</v>
      </c>
      <c r="D149" t="s">
        <v>99</v>
      </c>
      <c r="E149" t="s">
        <v>12</v>
      </c>
      <c r="F149" t="s">
        <v>12</v>
      </c>
    </row>
    <row r="150" spans="1:6">
      <c r="A150" t="s">
        <v>209</v>
      </c>
      <c r="B150" t="str">
        <f>"10673342243409941091"</f>
        <v>10673342243409941091</v>
      </c>
      <c r="C150" s="4">
        <v>45314</v>
      </c>
      <c r="D150" t="s">
        <v>99</v>
      </c>
      <c r="E150" t="s">
        <v>12</v>
      </c>
      <c r="F150" t="s">
        <v>12</v>
      </c>
    </row>
    <row r="151" spans="1:6">
      <c r="A151" t="s">
        <v>210</v>
      </c>
      <c r="B151" t="str">
        <f>"10673342243410808898"</f>
        <v>10673342243410808898</v>
      </c>
      <c r="C151" s="4">
        <v>45316</v>
      </c>
      <c r="D151" t="s">
        <v>99</v>
      </c>
      <c r="E151" t="s">
        <v>12</v>
      </c>
      <c r="F151" t="s">
        <v>12</v>
      </c>
    </row>
    <row r="152" spans="1:6">
      <c r="A152" t="s">
        <v>211</v>
      </c>
      <c r="B152" t="str">
        <f>"10673342243407282511"</f>
        <v>10673342243407282511</v>
      </c>
      <c r="C152" s="4">
        <v>45303</v>
      </c>
      <c r="D152" t="s">
        <v>99</v>
      </c>
      <c r="E152" t="s">
        <v>12</v>
      </c>
      <c r="F152" t="s">
        <v>12</v>
      </c>
    </row>
    <row r="153" spans="1:6">
      <c r="A153" t="s">
        <v>212</v>
      </c>
      <c r="B153" t="str">
        <f>"10673342243407825434"</f>
        <v>10673342243407825434</v>
      </c>
      <c r="C153" s="4">
        <v>45306</v>
      </c>
      <c r="D153" t="s">
        <v>99</v>
      </c>
      <c r="E153" t="s">
        <v>12</v>
      </c>
      <c r="F153" t="s">
        <v>12</v>
      </c>
    </row>
    <row r="154" spans="1:6">
      <c r="A154" t="s">
        <v>213</v>
      </c>
      <c r="B154" t="str">
        <f>"10673342243407699552"</f>
        <v>10673342243407699552</v>
      </c>
      <c r="C154" s="4">
        <v>45306</v>
      </c>
      <c r="D154" t="s">
        <v>99</v>
      </c>
      <c r="E154" t="s">
        <v>12</v>
      </c>
      <c r="F154" t="s">
        <v>12</v>
      </c>
    </row>
    <row r="155" spans="1:6">
      <c r="A155" t="s">
        <v>214</v>
      </c>
      <c r="B155" t="str">
        <f>"10673342243408215818"</f>
        <v>10673342243408215818</v>
      </c>
      <c r="C155" s="4">
        <v>45307</v>
      </c>
      <c r="D155" t="s">
        <v>99</v>
      </c>
      <c r="E155" t="s">
        <v>12</v>
      </c>
      <c r="F155" t="s">
        <v>12</v>
      </c>
    </row>
    <row r="156" spans="1:6">
      <c r="A156" t="s">
        <v>215</v>
      </c>
      <c r="B156" t="str">
        <f>"10673342243408047885"</f>
        <v>10673342243408047885</v>
      </c>
      <c r="C156" s="4">
        <v>45307</v>
      </c>
      <c r="D156" t="s">
        <v>99</v>
      </c>
      <c r="E156" t="s">
        <v>12</v>
      </c>
      <c r="F156" t="s">
        <v>12</v>
      </c>
    </row>
    <row r="157" spans="1:6">
      <c r="A157" t="s">
        <v>216</v>
      </c>
      <c r="B157" t="str">
        <f>"10673342243407996417"</f>
        <v>10673342243407996417</v>
      </c>
      <c r="C157" s="4">
        <v>45307</v>
      </c>
      <c r="D157" t="s">
        <v>99</v>
      </c>
      <c r="E157" t="s">
        <v>12</v>
      </c>
      <c r="F157" t="s">
        <v>12</v>
      </c>
    </row>
    <row r="158" spans="1:6">
      <c r="A158" t="s">
        <v>217</v>
      </c>
      <c r="B158" t="str">
        <f>"10673342243408316339"</f>
        <v>10673342243408316339</v>
      </c>
      <c r="C158" s="4">
        <v>45308</v>
      </c>
      <c r="D158" t="s">
        <v>99</v>
      </c>
      <c r="E158" t="s">
        <v>12</v>
      </c>
      <c r="F158" t="s">
        <v>12</v>
      </c>
    </row>
    <row r="159" spans="1:6">
      <c r="A159" t="s">
        <v>218</v>
      </c>
      <c r="B159" t="str">
        <f>"10673342243408296028"</f>
        <v>10673342243408296028</v>
      </c>
      <c r="C159" s="4">
        <v>45308</v>
      </c>
      <c r="D159" t="s">
        <v>99</v>
      </c>
      <c r="E159" t="s">
        <v>12</v>
      </c>
      <c r="F159" t="s">
        <v>12</v>
      </c>
    </row>
    <row r="160" spans="1:6">
      <c r="A160" t="s">
        <v>219</v>
      </c>
      <c r="B160" t="str">
        <f>"10673342243408278925"</f>
        <v>10673342243408278925</v>
      </c>
      <c r="C160" s="4">
        <v>45308</v>
      </c>
      <c r="D160" t="s">
        <v>99</v>
      </c>
      <c r="E160" t="s">
        <v>12</v>
      </c>
      <c r="F160" t="s">
        <v>12</v>
      </c>
    </row>
    <row r="161" spans="1:6">
      <c r="A161" t="s">
        <v>220</v>
      </c>
      <c r="B161" t="str">
        <f>"10673342243408296028"</f>
        <v>10673342243408296028</v>
      </c>
      <c r="C161" s="4">
        <v>45308</v>
      </c>
      <c r="D161" t="s">
        <v>99</v>
      </c>
      <c r="E161" t="s">
        <v>12</v>
      </c>
      <c r="F161" t="s">
        <v>12</v>
      </c>
    </row>
    <row r="162" spans="1:6">
      <c r="A162" t="s">
        <v>221</v>
      </c>
      <c r="B162" t="str">
        <f>"10673342243408678281"</f>
        <v>10673342243408678281</v>
      </c>
      <c r="C162" s="4">
        <v>45309</v>
      </c>
      <c r="D162" t="s">
        <v>99</v>
      </c>
      <c r="E162" t="s">
        <v>12</v>
      </c>
      <c r="F162" t="s">
        <v>12</v>
      </c>
    </row>
    <row r="163" spans="1:6">
      <c r="A163" t="s">
        <v>222</v>
      </c>
      <c r="B163" t="str">
        <f>"10673342243408677234"</f>
        <v>10673342243408677234</v>
      </c>
      <c r="C163" s="4">
        <v>45309</v>
      </c>
      <c r="D163" t="s">
        <v>99</v>
      </c>
      <c r="E163" t="s">
        <v>12</v>
      </c>
      <c r="F163" t="s">
        <v>12</v>
      </c>
    </row>
    <row r="164" spans="1:6">
      <c r="A164" t="s">
        <v>223</v>
      </c>
      <c r="B164" t="str">
        <f>"10673342243408602307"</f>
        <v>10673342243408602307</v>
      </c>
      <c r="C164" s="4">
        <v>45309</v>
      </c>
      <c r="D164" t="s">
        <v>99</v>
      </c>
      <c r="E164" t="s">
        <v>12</v>
      </c>
      <c r="F164" t="s">
        <v>12</v>
      </c>
    </row>
    <row r="165" spans="1:6">
      <c r="A165" t="s">
        <v>224</v>
      </c>
      <c r="B165" t="str">
        <f>"10673342243408601424"</f>
        <v>10673342243408601424</v>
      </c>
      <c r="C165" s="4">
        <v>45309</v>
      </c>
      <c r="D165" t="s">
        <v>99</v>
      </c>
      <c r="E165" t="s">
        <v>12</v>
      </c>
      <c r="F165" t="s">
        <v>12</v>
      </c>
    </row>
    <row r="166" spans="1:6">
      <c r="A166" t="s">
        <v>225</v>
      </c>
      <c r="B166" t="str">
        <f>"10673342233404259862"</f>
        <v>10673342233404259862</v>
      </c>
      <c r="C166" s="4">
        <v>45285</v>
      </c>
      <c r="D166" t="s">
        <v>99</v>
      </c>
      <c r="E166" t="s">
        <v>12</v>
      </c>
      <c r="F166" t="s">
        <v>12</v>
      </c>
    </row>
    <row r="167" spans="1:6">
      <c r="A167" t="s">
        <v>226</v>
      </c>
      <c r="B167" t="str">
        <f>"10673342233405956877"</f>
        <v>10673342233405956877</v>
      </c>
      <c r="C167" s="4">
        <v>45295</v>
      </c>
      <c r="D167" t="s">
        <v>99</v>
      </c>
      <c r="E167" t="s">
        <v>12</v>
      </c>
      <c r="F167" t="s">
        <v>12</v>
      </c>
    </row>
    <row r="168" spans="1:6">
      <c r="A168" t="s">
        <v>227</v>
      </c>
      <c r="B168" t="str">
        <f>"10673342233406122457"</f>
        <v>10673342233406122457</v>
      </c>
      <c r="C168" s="4">
        <v>45296</v>
      </c>
      <c r="D168" t="s">
        <v>99</v>
      </c>
      <c r="E168" t="s">
        <v>12</v>
      </c>
      <c r="F168" t="s">
        <v>12</v>
      </c>
    </row>
    <row r="169" spans="1:6">
      <c r="A169" t="s">
        <v>228</v>
      </c>
      <c r="B169" t="str">
        <f>"10673342243406353814"</f>
        <v>10673342243406353814</v>
      </c>
      <c r="C169" s="4">
        <v>45300</v>
      </c>
      <c r="D169" t="s">
        <v>99</v>
      </c>
      <c r="E169" t="s">
        <v>12</v>
      </c>
      <c r="F169" t="s">
        <v>12</v>
      </c>
    </row>
    <row r="170" spans="1:6">
      <c r="A170" t="s">
        <v>229</v>
      </c>
      <c r="B170" t="str">
        <f>"10673342243406786494"</f>
        <v>10673342243406786494</v>
      </c>
      <c r="C170" s="4">
        <v>45301</v>
      </c>
      <c r="D170" t="s">
        <v>99</v>
      </c>
      <c r="E170" t="s">
        <v>12</v>
      </c>
      <c r="F170" t="s">
        <v>12</v>
      </c>
    </row>
    <row r="171" spans="1:6">
      <c r="A171" t="s">
        <v>230</v>
      </c>
      <c r="B171" t="str">
        <f>"10673342243406786494"</f>
        <v>10673342243406786494</v>
      </c>
      <c r="C171" s="4">
        <v>45301</v>
      </c>
      <c r="D171" t="s">
        <v>99</v>
      </c>
      <c r="E171" t="s">
        <v>12</v>
      </c>
      <c r="F171" t="s">
        <v>12</v>
      </c>
    </row>
    <row r="172" spans="1:6">
      <c r="A172" t="s">
        <v>231</v>
      </c>
      <c r="B172" t="str">
        <f>"10673342243425943613"</f>
        <v>10673342243425943613</v>
      </c>
      <c r="C172" s="4">
        <v>45372</v>
      </c>
      <c r="D172" t="s">
        <v>99</v>
      </c>
      <c r="E172" t="s">
        <v>12</v>
      </c>
      <c r="F172" t="s">
        <v>12</v>
      </c>
    </row>
    <row r="173" spans="1:6">
      <c r="A173" t="s">
        <v>103</v>
      </c>
      <c r="B173" t="str">
        <f>"10673342243444971112"</f>
        <v>10673342243444971112</v>
      </c>
      <c r="C173" s="4">
        <v>45436</v>
      </c>
      <c r="D173" t="s">
        <v>99</v>
      </c>
      <c r="E173" t="s">
        <v>12</v>
      </c>
      <c r="F173" t="s">
        <v>12</v>
      </c>
    </row>
    <row r="174" spans="1:6">
      <c r="A174" t="s">
        <v>232</v>
      </c>
      <c r="B174" t="str">
        <f>"10673342243443811804"</f>
        <v>10673342243443811804</v>
      </c>
      <c r="C174" s="4">
        <v>45434</v>
      </c>
      <c r="D174" t="s">
        <v>99</v>
      </c>
      <c r="E174" t="s">
        <v>12</v>
      </c>
      <c r="F174" t="s">
        <v>12</v>
      </c>
    </row>
    <row r="175" spans="1:6">
      <c r="A175" t="s">
        <v>233</v>
      </c>
      <c r="B175" t="str">
        <f>"10673342243443797240"</f>
        <v>10673342243443797240</v>
      </c>
      <c r="C175" s="4">
        <v>45434</v>
      </c>
      <c r="D175" t="s">
        <v>99</v>
      </c>
      <c r="E175" t="s">
        <v>12</v>
      </c>
      <c r="F175" t="s">
        <v>12</v>
      </c>
    </row>
    <row r="176" spans="1:6">
      <c r="A176" t="s">
        <v>234</v>
      </c>
      <c r="B176" t="str">
        <f>"10673342243443715155"</f>
        <v>10673342243443715155</v>
      </c>
      <c r="C176" s="4">
        <v>45434</v>
      </c>
      <c r="D176" t="s">
        <v>99</v>
      </c>
      <c r="E176" t="s">
        <v>12</v>
      </c>
      <c r="F176" t="s">
        <v>12</v>
      </c>
    </row>
    <row r="177" spans="1:6">
      <c r="A177" t="s">
        <v>107</v>
      </c>
      <c r="B177" t="str">
        <f>"10673342243443715783"</f>
        <v>10673342243443715783</v>
      </c>
      <c r="C177" s="4">
        <v>45434</v>
      </c>
      <c r="D177" t="s">
        <v>99</v>
      </c>
      <c r="E177" t="s">
        <v>12</v>
      </c>
      <c r="F177" t="s">
        <v>12</v>
      </c>
    </row>
    <row r="178" spans="1:6">
      <c r="A178" t="s">
        <v>235</v>
      </c>
      <c r="B178" t="str">
        <f>"10673342243444944875"</f>
        <v>10673342243444944875</v>
      </c>
      <c r="C178" s="4">
        <v>45436</v>
      </c>
      <c r="D178" t="s">
        <v>99</v>
      </c>
      <c r="E178" t="s">
        <v>12</v>
      </c>
      <c r="F178" t="s">
        <v>12</v>
      </c>
    </row>
    <row r="179" spans="1:6">
      <c r="A179" t="s">
        <v>113</v>
      </c>
      <c r="B179" t="str">
        <f>"10673342243437985022"</f>
        <v>10673342243437985022</v>
      </c>
      <c r="C179" s="4">
        <v>45414</v>
      </c>
      <c r="D179" t="s">
        <v>99</v>
      </c>
      <c r="E179" t="s">
        <v>12</v>
      </c>
      <c r="F179" t="s">
        <v>12</v>
      </c>
    </row>
    <row r="180" spans="1:6">
      <c r="A180" t="s">
        <v>114</v>
      </c>
      <c r="B180" t="str">
        <f>"10673342243437956766"</f>
        <v>10673342243437956766</v>
      </c>
      <c r="C180" s="4">
        <v>45414</v>
      </c>
      <c r="D180" t="s">
        <v>99</v>
      </c>
      <c r="E180" t="s">
        <v>12</v>
      </c>
      <c r="F180" t="s">
        <v>12</v>
      </c>
    </row>
    <row r="181" spans="1:6">
      <c r="A181" t="s">
        <v>115</v>
      </c>
      <c r="B181" t="str">
        <f>"10673342243438918035"</f>
        <v>10673342243438918035</v>
      </c>
      <c r="C181" s="4">
        <v>45415</v>
      </c>
      <c r="D181" t="s">
        <v>99</v>
      </c>
      <c r="E181" t="s">
        <v>12</v>
      </c>
      <c r="F181" t="s">
        <v>12</v>
      </c>
    </row>
    <row r="182" spans="1:6">
      <c r="A182" t="s">
        <v>116</v>
      </c>
      <c r="B182" t="str">
        <f>"10673342243438708263"</f>
        <v>10673342243438708263</v>
      </c>
      <c r="C182" s="4">
        <v>45415</v>
      </c>
      <c r="D182" t="s">
        <v>99</v>
      </c>
      <c r="E182" t="s">
        <v>12</v>
      </c>
      <c r="F182" t="s">
        <v>12</v>
      </c>
    </row>
    <row r="183" spans="1:6">
      <c r="A183" t="s">
        <v>117</v>
      </c>
      <c r="B183" t="str">
        <f>"10673342243438607595"</f>
        <v>10673342243438607595</v>
      </c>
      <c r="C183" s="4">
        <v>45415</v>
      </c>
      <c r="D183" t="s">
        <v>99</v>
      </c>
      <c r="E183" t="s">
        <v>12</v>
      </c>
      <c r="F183" t="s">
        <v>12</v>
      </c>
    </row>
    <row r="184" spans="1:6">
      <c r="A184" t="s">
        <v>118</v>
      </c>
      <c r="B184" t="str">
        <f>"10673342243444733769"</f>
        <v>10673342243444733769</v>
      </c>
      <c r="C184" s="4">
        <v>45436</v>
      </c>
      <c r="D184" t="s">
        <v>99</v>
      </c>
      <c r="E184" t="s">
        <v>12</v>
      </c>
      <c r="F184" t="s">
        <v>12</v>
      </c>
    </row>
    <row r="185" spans="1:6">
      <c r="A185" t="s">
        <v>119</v>
      </c>
      <c r="B185" t="str">
        <f>"10673342243439160101"</f>
        <v>10673342243439160101</v>
      </c>
      <c r="C185" s="4">
        <v>45418</v>
      </c>
      <c r="D185" t="s">
        <v>99</v>
      </c>
      <c r="E185" t="s">
        <v>12</v>
      </c>
      <c r="F185" t="s">
        <v>12</v>
      </c>
    </row>
    <row r="186" spans="1:6">
      <c r="A186" t="s">
        <v>120</v>
      </c>
      <c r="B186" t="str">
        <f>"10673342243439719109"</f>
        <v>10673342243439719109</v>
      </c>
      <c r="C186" s="4">
        <v>45419</v>
      </c>
      <c r="D186" t="s">
        <v>99</v>
      </c>
      <c r="E186" t="s">
        <v>12</v>
      </c>
      <c r="F186" t="s">
        <v>12</v>
      </c>
    </row>
    <row r="187" spans="1:6">
      <c r="A187" t="s">
        <v>121</v>
      </c>
      <c r="B187" t="str">
        <f>"10673342243439431385"</f>
        <v>10673342243439431385</v>
      </c>
      <c r="C187" s="4">
        <v>45419</v>
      </c>
      <c r="D187" t="s">
        <v>99</v>
      </c>
      <c r="E187" t="s">
        <v>12</v>
      </c>
      <c r="F187" t="s">
        <v>12</v>
      </c>
    </row>
    <row r="188" spans="1:6">
      <c r="A188" t="s">
        <v>122</v>
      </c>
      <c r="B188" t="str">
        <f>"10673342243439404051"</f>
        <v>10673342243439404051</v>
      </c>
      <c r="C188" s="4">
        <v>45419</v>
      </c>
      <c r="D188" t="s">
        <v>99</v>
      </c>
      <c r="E188" t="s">
        <v>12</v>
      </c>
      <c r="F188" t="s">
        <v>12</v>
      </c>
    </row>
    <row r="189" spans="1:6">
      <c r="A189" t="s">
        <v>123</v>
      </c>
      <c r="B189" t="str">
        <f>"10673342243440595957"</f>
        <v>10673342243440595957</v>
      </c>
      <c r="C189" s="4">
        <v>45425</v>
      </c>
      <c r="D189" t="s">
        <v>99</v>
      </c>
      <c r="E189" t="s">
        <v>12</v>
      </c>
      <c r="F189" t="s">
        <v>12</v>
      </c>
    </row>
    <row r="190" spans="1:6">
      <c r="A190" t="s">
        <v>124</v>
      </c>
      <c r="B190" t="str">
        <f>"10673342243440359854"</f>
        <v>10673342243440359854</v>
      </c>
      <c r="C190" s="4">
        <v>45425</v>
      </c>
      <c r="D190" t="s">
        <v>99</v>
      </c>
      <c r="E190" t="s">
        <v>12</v>
      </c>
      <c r="F190" t="s">
        <v>12</v>
      </c>
    </row>
    <row r="191" spans="1:6">
      <c r="A191" t="s">
        <v>128</v>
      </c>
      <c r="B191" t="str">
        <f>"10673342243440903597"</f>
        <v>10673342243440903597</v>
      </c>
      <c r="C191" s="4">
        <v>45426</v>
      </c>
      <c r="D191" t="s">
        <v>99</v>
      </c>
      <c r="E191" t="s">
        <v>12</v>
      </c>
      <c r="F191" t="s">
        <v>12</v>
      </c>
    </row>
    <row r="192" spans="1:6">
      <c r="A192" t="s">
        <v>129</v>
      </c>
      <c r="B192" t="str">
        <f>"10673342243446155452"</f>
        <v>10673342243446155452</v>
      </c>
      <c r="C192" s="4">
        <v>45440</v>
      </c>
      <c r="D192" t="s">
        <v>99</v>
      </c>
      <c r="E192" t="s">
        <v>12</v>
      </c>
      <c r="F192" t="s">
        <v>12</v>
      </c>
    </row>
    <row r="193" spans="1:6">
      <c r="A193" t="s">
        <v>132</v>
      </c>
      <c r="B193" t="str">
        <f>"10673342243434880963"</f>
        <v>10673342243434880963</v>
      </c>
      <c r="C193" s="4">
        <v>45401</v>
      </c>
      <c r="D193" t="s">
        <v>99</v>
      </c>
      <c r="E193" t="s">
        <v>12</v>
      </c>
      <c r="F193" t="s">
        <v>12</v>
      </c>
    </row>
    <row r="194" spans="1:6">
      <c r="A194" t="s">
        <v>133</v>
      </c>
      <c r="B194" t="str">
        <f>"10673342243434872618"</f>
        <v>10673342243434872618</v>
      </c>
      <c r="C194" s="4">
        <v>45401</v>
      </c>
      <c r="D194" t="s">
        <v>99</v>
      </c>
      <c r="E194" t="s">
        <v>12</v>
      </c>
      <c r="F194" t="s">
        <v>12</v>
      </c>
    </row>
    <row r="195" spans="1:6">
      <c r="A195" t="s">
        <v>134</v>
      </c>
      <c r="B195" t="str">
        <f>"10673342243434488230"</f>
        <v>10673342243434488230</v>
      </c>
      <c r="C195" s="4">
        <v>45401</v>
      </c>
      <c r="D195" t="s">
        <v>99</v>
      </c>
      <c r="E195" t="s">
        <v>12</v>
      </c>
      <c r="F195" t="s">
        <v>12</v>
      </c>
    </row>
    <row r="196" spans="1:6">
      <c r="A196" t="s">
        <v>135</v>
      </c>
      <c r="B196" t="str">
        <f>"10673342243435675301"</f>
        <v>10673342243435675301</v>
      </c>
      <c r="C196" s="4">
        <v>45405</v>
      </c>
      <c r="D196" t="s">
        <v>99</v>
      </c>
      <c r="E196" t="s">
        <v>12</v>
      </c>
      <c r="F196" t="s">
        <v>12</v>
      </c>
    </row>
    <row r="197" spans="1:6">
      <c r="A197" t="s">
        <v>136</v>
      </c>
      <c r="B197" t="str">
        <f>"10673342243435994822"</f>
        <v>10673342243435994822</v>
      </c>
      <c r="C197" s="4">
        <v>45406</v>
      </c>
      <c r="D197" t="s">
        <v>99</v>
      </c>
      <c r="E197" t="s">
        <v>12</v>
      </c>
      <c r="F197" t="s">
        <v>12</v>
      </c>
    </row>
    <row r="198" spans="1:6">
      <c r="A198" t="s">
        <v>137</v>
      </c>
      <c r="B198" t="str">
        <f>"10673342243435808743"</f>
        <v>10673342243435808743</v>
      </c>
      <c r="C198" s="4">
        <v>45406</v>
      </c>
      <c r="D198" t="s">
        <v>99</v>
      </c>
      <c r="E198" t="s">
        <v>12</v>
      </c>
      <c r="F198" t="s">
        <v>12</v>
      </c>
    </row>
    <row r="199" spans="1:6">
      <c r="A199" t="s">
        <v>138</v>
      </c>
      <c r="B199" t="str">
        <f>"10673342243435730981"</f>
        <v>10673342243435730981</v>
      </c>
      <c r="C199" s="4">
        <v>45406</v>
      </c>
      <c r="D199" t="s">
        <v>99</v>
      </c>
      <c r="E199" t="s">
        <v>12</v>
      </c>
      <c r="F199" t="s">
        <v>12</v>
      </c>
    </row>
    <row r="200" spans="1:6">
      <c r="A200" t="s">
        <v>139</v>
      </c>
      <c r="B200" t="str">
        <f>"10673342243436430329"</f>
        <v>10673342243436430329</v>
      </c>
      <c r="C200" s="4">
        <v>45407</v>
      </c>
      <c r="D200" t="s">
        <v>99</v>
      </c>
      <c r="E200" t="s">
        <v>12</v>
      </c>
      <c r="F200" t="s">
        <v>12</v>
      </c>
    </row>
    <row r="201" spans="1:6">
      <c r="A201" t="s">
        <v>140</v>
      </c>
      <c r="B201" t="str">
        <f>"10673342243445772571"</f>
        <v>10673342243445772571</v>
      </c>
      <c r="C201" s="4">
        <v>45440</v>
      </c>
      <c r="D201" t="s">
        <v>99</v>
      </c>
      <c r="E201" t="s">
        <v>12</v>
      </c>
      <c r="F201" t="s">
        <v>12</v>
      </c>
    </row>
    <row r="202" spans="1:6">
      <c r="A202" t="s">
        <v>141</v>
      </c>
      <c r="B202" t="str">
        <f>"10673342243437068933"</f>
        <v>10673342243437068933</v>
      </c>
      <c r="C202" s="4">
        <v>45408</v>
      </c>
      <c r="D202" t="s">
        <v>99</v>
      </c>
      <c r="E202" t="s">
        <v>12</v>
      </c>
      <c r="F202" t="s">
        <v>12</v>
      </c>
    </row>
    <row r="203" spans="1:6">
      <c r="A203" t="s">
        <v>142</v>
      </c>
      <c r="B203" t="str">
        <f>"10673342243436877439"</f>
        <v>10673342243436877439</v>
      </c>
      <c r="C203" s="4">
        <v>45408</v>
      </c>
      <c r="D203" t="s">
        <v>99</v>
      </c>
      <c r="E203" t="s">
        <v>12</v>
      </c>
      <c r="F203" t="s">
        <v>12</v>
      </c>
    </row>
    <row r="204" spans="1:6">
      <c r="A204" t="s">
        <v>143</v>
      </c>
      <c r="B204" t="str">
        <f>"10673342243436752377"</f>
        <v>10673342243436752377</v>
      </c>
      <c r="C204" s="4">
        <v>45408</v>
      </c>
      <c r="D204" t="s">
        <v>99</v>
      </c>
      <c r="E204" t="s">
        <v>12</v>
      </c>
      <c r="F204" t="s">
        <v>12</v>
      </c>
    </row>
    <row r="205" spans="1:6">
      <c r="A205" t="s">
        <v>144</v>
      </c>
      <c r="B205" t="str">
        <f>"10673342243429217917"</f>
        <v>10673342243429217917</v>
      </c>
      <c r="C205" s="4">
        <v>45385</v>
      </c>
      <c r="D205" t="s">
        <v>99</v>
      </c>
      <c r="E205" t="s">
        <v>12</v>
      </c>
      <c r="F205" t="s">
        <v>12</v>
      </c>
    </row>
    <row r="206" spans="1:6">
      <c r="A206" t="s">
        <v>145</v>
      </c>
      <c r="B206" t="str">
        <f>"10673342243427465522"</f>
        <v>10673342243427465522</v>
      </c>
      <c r="C206" s="4">
        <v>45379</v>
      </c>
      <c r="D206" t="s">
        <v>99</v>
      </c>
      <c r="E206" t="s">
        <v>12</v>
      </c>
      <c r="F206" t="s">
        <v>12</v>
      </c>
    </row>
    <row r="207" spans="1:6">
      <c r="A207" t="s">
        <v>150</v>
      </c>
      <c r="B207" t="str">
        <f>"10673342243433748271"</f>
        <v>10673342243433748271</v>
      </c>
      <c r="C207" s="4">
        <v>45399</v>
      </c>
      <c r="D207" t="s">
        <v>99</v>
      </c>
      <c r="E207" t="s">
        <v>12</v>
      </c>
      <c r="F207" t="s">
        <v>12</v>
      </c>
    </row>
    <row r="208" spans="1:6">
      <c r="A208" t="s">
        <v>151</v>
      </c>
      <c r="B208" t="str">
        <f>"10673342243446352495"</f>
        <v>10673342243446352495</v>
      </c>
      <c r="C208" s="4">
        <v>45441</v>
      </c>
      <c r="D208" t="s">
        <v>99</v>
      </c>
      <c r="E208" t="s">
        <v>12</v>
      </c>
      <c r="F208" t="s">
        <v>12</v>
      </c>
    </row>
    <row r="209" spans="1:6">
      <c r="A209" t="s">
        <v>152</v>
      </c>
      <c r="B209" t="str">
        <f>"10673342243434393841"</f>
        <v>10673342243434393841</v>
      </c>
      <c r="C209" s="4">
        <v>45400</v>
      </c>
      <c r="D209" t="s">
        <v>99</v>
      </c>
      <c r="E209" t="s">
        <v>12</v>
      </c>
      <c r="F209" t="s">
        <v>12</v>
      </c>
    </row>
    <row r="210" spans="1:6">
      <c r="A210" t="s">
        <v>153</v>
      </c>
      <c r="B210" t="str">
        <f>"10673342243434028019"</f>
        <v>10673342243434028019</v>
      </c>
      <c r="C210" s="4">
        <v>45400</v>
      </c>
      <c r="D210" t="s">
        <v>99</v>
      </c>
      <c r="E210" t="s">
        <v>12</v>
      </c>
      <c r="F210" t="s">
        <v>12</v>
      </c>
    </row>
    <row r="211" spans="1:6">
      <c r="A211" t="s">
        <v>154</v>
      </c>
      <c r="B211" t="str">
        <f>"10673342243430288105"</f>
        <v>10673342243430288105</v>
      </c>
      <c r="C211" s="4">
        <v>45387</v>
      </c>
      <c r="D211" t="s">
        <v>99</v>
      </c>
      <c r="E211" t="s">
        <v>12</v>
      </c>
      <c r="F211" t="s">
        <v>12</v>
      </c>
    </row>
    <row r="212" spans="1:6">
      <c r="A212" t="s">
        <v>159</v>
      </c>
      <c r="B212" t="str">
        <f>"10673342243425496978"</f>
        <v>10673342243425496978</v>
      </c>
      <c r="C212" s="4">
        <v>45371</v>
      </c>
      <c r="D212" t="s">
        <v>99</v>
      </c>
      <c r="E212" t="s">
        <v>12</v>
      </c>
      <c r="F212" t="s">
        <v>12</v>
      </c>
    </row>
    <row r="213" spans="1:6">
      <c r="A213" t="s">
        <v>161</v>
      </c>
      <c r="B213" t="str">
        <f>"10673342243428494933"</f>
        <v>10673342243428494933</v>
      </c>
      <c r="C213" s="4">
        <v>45383</v>
      </c>
      <c r="D213" t="s">
        <v>99</v>
      </c>
      <c r="E213" t="s">
        <v>12</v>
      </c>
      <c r="F213" t="s">
        <v>12</v>
      </c>
    </row>
    <row r="214" spans="1:6">
      <c r="A214" t="s">
        <v>163</v>
      </c>
      <c r="B214" t="str">
        <f>"10673342243429132067"</f>
        <v>10673342243429132067</v>
      </c>
      <c r="C214" s="4">
        <v>45384</v>
      </c>
      <c r="D214" t="s">
        <v>99</v>
      </c>
      <c r="E214" t="s">
        <v>12</v>
      </c>
      <c r="F214" t="s">
        <v>12</v>
      </c>
    </row>
    <row r="215" spans="1:6">
      <c r="A215" t="s">
        <v>164</v>
      </c>
      <c r="B215" t="str">
        <f>"10673342243429349354"</f>
        <v>10673342243429349354</v>
      </c>
      <c r="C215" s="4">
        <v>45385</v>
      </c>
      <c r="D215" t="s">
        <v>99</v>
      </c>
      <c r="E215" t="s">
        <v>12</v>
      </c>
      <c r="F215" t="s">
        <v>12</v>
      </c>
    </row>
    <row r="216" spans="1:6">
      <c r="A216" t="s">
        <v>165</v>
      </c>
      <c r="B216" t="str">
        <f>"10673342243430009915"</f>
        <v>10673342243430009915</v>
      </c>
      <c r="C216" s="4">
        <v>45386</v>
      </c>
      <c r="D216" t="s">
        <v>99</v>
      </c>
      <c r="E216" t="s">
        <v>12</v>
      </c>
      <c r="F216" t="s">
        <v>12</v>
      </c>
    </row>
    <row r="217" spans="1:6">
      <c r="A217" t="s">
        <v>166</v>
      </c>
      <c r="B217" t="str">
        <f>"10673342243430003313"</f>
        <v>10673342243430003313</v>
      </c>
      <c r="C217" s="4">
        <v>45386</v>
      </c>
      <c r="D217" t="s">
        <v>99</v>
      </c>
      <c r="E217" t="s">
        <v>12</v>
      </c>
      <c r="F217" t="s">
        <v>12</v>
      </c>
    </row>
    <row r="218" spans="1:6">
      <c r="A218" t="s">
        <v>231</v>
      </c>
      <c r="B218" t="str">
        <f>"10673342243445166833"</f>
        <v>10673342243445166833</v>
      </c>
      <c r="C218" s="4">
        <v>45436</v>
      </c>
      <c r="D218" t="s">
        <v>99</v>
      </c>
      <c r="E218" t="s">
        <v>12</v>
      </c>
      <c r="F218" t="s">
        <v>12</v>
      </c>
    </row>
    <row r="219" spans="1:6">
      <c r="A219" t="s">
        <v>103</v>
      </c>
      <c r="B219" t="str">
        <f>"10673342243455990865"</f>
        <v>10673342243455990865</v>
      </c>
      <c r="C219" s="4">
        <v>45468</v>
      </c>
      <c r="D219" t="s">
        <v>99</v>
      </c>
      <c r="E219" t="s">
        <v>12</v>
      </c>
      <c r="F219" t="s">
        <v>12</v>
      </c>
    </row>
    <row r="220" spans="1:6">
      <c r="A220" t="s">
        <v>236</v>
      </c>
      <c r="B220" t="str">
        <f>"10673342243452220430"</f>
        <v>10673342243452220430</v>
      </c>
      <c r="C220" s="4">
        <v>45457</v>
      </c>
      <c r="D220" t="s">
        <v>99</v>
      </c>
      <c r="E220" t="s">
        <v>12</v>
      </c>
      <c r="F220" t="s">
        <v>12</v>
      </c>
    </row>
    <row r="221" spans="1:6">
      <c r="A221" t="s">
        <v>237</v>
      </c>
      <c r="B221" t="str">
        <f>"10673342243452102900"</f>
        <v>10673342243452102900</v>
      </c>
      <c r="C221" s="4">
        <v>45457</v>
      </c>
      <c r="D221" t="s">
        <v>99</v>
      </c>
      <c r="E221" t="s">
        <v>12</v>
      </c>
      <c r="F221" t="s">
        <v>12</v>
      </c>
    </row>
    <row r="222" spans="1:6">
      <c r="A222" t="s">
        <v>238</v>
      </c>
      <c r="B222" t="str">
        <f>"10673342243451912444"</f>
        <v>10673342243451912444</v>
      </c>
      <c r="C222" s="4">
        <v>45457</v>
      </c>
      <c r="D222" t="s">
        <v>99</v>
      </c>
      <c r="E222" t="s">
        <v>12</v>
      </c>
      <c r="F222" t="s">
        <v>12</v>
      </c>
    </row>
    <row r="223" spans="1:6">
      <c r="A223" t="s">
        <v>233</v>
      </c>
      <c r="B223" t="str">
        <f>"10673342243451790764"</f>
        <v>10673342243451790764</v>
      </c>
      <c r="C223" s="4">
        <v>45457</v>
      </c>
      <c r="D223" t="s">
        <v>99</v>
      </c>
      <c r="E223" t="s">
        <v>12</v>
      </c>
      <c r="F223" t="s">
        <v>12</v>
      </c>
    </row>
    <row r="224" spans="1:6">
      <c r="A224" t="s">
        <v>239</v>
      </c>
      <c r="B224" t="str">
        <f>"10673342243451754296"</f>
        <v>10673342243451754296</v>
      </c>
      <c r="C224" s="4">
        <v>45457</v>
      </c>
      <c r="D224" t="s">
        <v>99</v>
      </c>
      <c r="E224" t="s">
        <v>12</v>
      </c>
      <c r="F224" t="s">
        <v>12</v>
      </c>
    </row>
    <row r="225" spans="1:6">
      <c r="A225" t="s">
        <v>234</v>
      </c>
      <c r="B225" t="str">
        <f>"10673342243452832827"</f>
        <v>10673342243452832827</v>
      </c>
      <c r="C225" s="4">
        <v>45460</v>
      </c>
      <c r="D225" t="s">
        <v>99</v>
      </c>
      <c r="E225" t="s">
        <v>12</v>
      </c>
      <c r="F225" t="s">
        <v>12</v>
      </c>
    </row>
    <row r="226" spans="1:6">
      <c r="A226" t="s">
        <v>235</v>
      </c>
      <c r="B226" t="str">
        <f>"10673342243456761444"</f>
        <v>10673342243456761444</v>
      </c>
      <c r="C226" s="4">
        <v>45469</v>
      </c>
      <c r="D226" t="s">
        <v>99</v>
      </c>
      <c r="E226" t="s">
        <v>12</v>
      </c>
      <c r="F226" t="s">
        <v>12</v>
      </c>
    </row>
    <row r="227" spans="1:6">
      <c r="A227" t="s">
        <v>108</v>
      </c>
      <c r="B227" t="str">
        <f>"10673342243452657960"</f>
        <v>10673342243452657960</v>
      </c>
      <c r="C227" s="4">
        <v>45460</v>
      </c>
      <c r="D227" t="s">
        <v>99</v>
      </c>
      <c r="E227" t="s">
        <v>12</v>
      </c>
      <c r="F227" t="s">
        <v>12</v>
      </c>
    </row>
    <row r="228" spans="1:6">
      <c r="A228" t="s">
        <v>109</v>
      </c>
      <c r="B228" t="str">
        <f>"10673342243452609052"</f>
        <v>10673342243452609052</v>
      </c>
      <c r="C228" s="4">
        <v>45460</v>
      </c>
      <c r="D228" t="s">
        <v>99</v>
      </c>
      <c r="E228" t="s">
        <v>12</v>
      </c>
      <c r="F228" t="s">
        <v>12</v>
      </c>
    </row>
    <row r="229" spans="1:6">
      <c r="A229" t="s">
        <v>110</v>
      </c>
      <c r="B229" t="str">
        <f>"10673342243452609052"</f>
        <v>10673342243452609052</v>
      </c>
      <c r="C229" s="4">
        <v>45460</v>
      </c>
      <c r="D229" t="s">
        <v>99</v>
      </c>
      <c r="E229" t="s">
        <v>12</v>
      </c>
      <c r="F229" t="s">
        <v>12</v>
      </c>
    </row>
    <row r="230" spans="1:6">
      <c r="A230" t="s">
        <v>114</v>
      </c>
      <c r="B230" t="str">
        <f>"18810566240617741725"</f>
        <v>18810566240617741725</v>
      </c>
      <c r="C230" s="4">
        <v>45460</v>
      </c>
      <c r="D230" t="s">
        <v>99</v>
      </c>
      <c r="E230" t="s">
        <v>12</v>
      </c>
      <c r="F230" t="s">
        <v>12</v>
      </c>
    </row>
    <row r="231" spans="1:6">
      <c r="A231" t="s">
        <v>118</v>
      </c>
      <c r="B231" t="str">
        <f>"10673342243456599078"</f>
        <v>10673342243456599078</v>
      </c>
      <c r="C231" s="4">
        <v>45469</v>
      </c>
      <c r="D231" t="s">
        <v>99</v>
      </c>
      <c r="E231" t="s">
        <v>12</v>
      </c>
      <c r="F231" t="s">
        <v>12</v>
      </c>
    </row>
    <row r="232" spans="1:6">
      <c r="A232" t="s">
        <v>119</v>
      </c>
      <c r="B232" t="str">
        <f>"10673342243454031554"</f>
        <v>10673342243454031554</v>
      </c>
      <c r="C232" s="4">
        <v>45462</v>
      </c>
      <c r="D232" t="s">
        <v>99</v>
      </c>
      <c r="E232" t="s">
        <v>12</v>
      </c>
      <c r="F232" t="s">
        <v>12</v>
      </c>
    </row>
    <row r="233" spans="1:6">
      <c r="A233" t="s">
        <v>120</v>
      </c>
      <c r="B233" t="str">
        <f>"10673342243453881902"</f>
        <v>10673342243453881902</v>
      </c>
      <c r="C233" s="4">
        <v>45462</v>
      </c>
      <c r="D233" t="s">
        <v>99</v>
      </c>
      <c r="E233" t="s">
        <v>12</v>
      </c>
      <c r="F233" t="s">
        <v>12</v>
      </c>
    </row>
    <row r="234" spans="1:6">
      <c r="A234" t="s">
        <v>121</v>
      </c>
      <c r="B234" t="str">
        <f>"10673342243453603180"</f>
        <v>10673342243453603180</v>
      </c>
      <c r="C234" s="4">
        <v>45462</v>
      </c>
      <c r="D234" t="s">
        <v>99</v>
      </c>
      <c r="E234" t="s">
        <v>12</v>
      </c>
      <c r="F234" t="s">
        <v>12</v>
      </c>
    </row>
    <row r="235" spans="1:6">
      <c r="A235" t="s">
        <v>122</v>
      </c>
      <c r="B235" t="str">
        <f>"10673342243454595431"</f>
        <v>10673342243454595431</v>
      </c>
      <c r="C235" s="4">
        <v>45463</v>
      </c>
      <c r="D235" t="s">
        <v>99</v>
      </c>
      <c r="E235" t="s">
        <v>12</v>
      </c>
      <c r="F235" t="s">
        <v>12</v>
      </c>
    </row>
    <row r="236" spans="1:6">
      <c r="A236" t="s">
        <v>123</v>
      </c>
      <c r="B236" t="str">
        <f>"10673342243454411748"</f>
        <v>10673342243454411748</v>
      </c>
      <c r="C236" s="4">
        <v>45463</v>
      </c>
      <c r="D236" t="s">
        <v>99</v>
      </c>
      <c r="E236" t="s">
        <v>12</v>
      </c>
      <c r="F236" t="s">
        <v>12</v>
      </c>
    </row>
    <row r="237" spans="1:6">
      <c r="A237" t="s">
        <v>124</v>
      </c>
      <c r="B237" t="str">
        <f>"10673342243454347705"</f>
        <v>10673342243454347705</v>
      </c>
      <c r="C237" s="4">
        <v>45463</v>
      </c>
      <c r="D237" t="s">
        <v>99</v>
      </c>
      <c r="E237" t="s">
        <v>12</v>
      </c>
      <c r="F237" t="s">
        <v>12</v>
      </c>
    </row>
    <row r="238" spans="1:6">
      <c r="A238" t="s">
        <v>126</v>
      </c>
      <c r="B238" t="str">
        <f>"10673342243454303546"</f>
        <v>10673342243454303546</v>
      </c>
      <c r="C238" s="4">
        <v>45463</v>
      </c>
      <c r="D238" t="s">
        <v>99</v>
      </c>
      <c r="E238" t="s">
        <v>12</v>
      </c>
      <c r="F238" t="s">
        <v>12</v>
      </c>
    </row>
    <row r="239" spans="1:6">
      <c r="A239" t="s">
        <v>127</v>
      </c>
      <c r="B239" t="str">
        <f>"10673342243454293397"</f>
        <v>10673342243454293397</v>
      </c>
      <c r="C239" s="4">
        <v>45463</v>
      </c>
      <c r="D239" t="s">
        <v>99</v>
      </c>
      <c r="E239" t="s">
        <v>12</v>
      </c>
      <c r="F239" t="s">
        <v>12</v>
      </c>
    </row>
    <row r="240" spans="1:6">
      <c r="A240" t="s">
        <v>128</v>
      </c>
      <c r="B240" t="str">
        <f>"10673342243454239139"</f>
        <v>10673342243454239139</v>
      </c>
      <c r="C240" s="4">
        <v>45463</v>
      </c>
      <c r="D240" t="s">
        <v>99</v>
      </c>
      <c r="E240" t="s">
        <v>12</v>
      </c>
      <c r="F240" t="s">
        <v>12</v>
      </c>
    </row>
    <row r="241" spans="1:6">
      <c r="A241" t="s">
        <v>129</v>
      </c>
      <c r="B241" t="str">
        <f>"10673342243456496295"</f>
        <v>10673342243456496295</v>
      </c>
      <c r="C241" s="4">
        <v>45469</v>
      </c>
      <c r="D241" t="s">
        <v>99</v>
      </c>
      <c r="E241" t="s">
        <v>12</v>
      </c>
      <c r="F241" t="s">
        <v>12</v>
      </c>
    </row>
    <row r="242" spans="1:6">
      <c r="A242" t="s">
        <v>130</v>
      </c>
      <c r="B242" t="str">
        <f>"10673342243449712212"</f>
        <v>10673342243449712212</v>
      </c>
      <c r="C242" s="4">
        <v>45450</v>
      </c>
      <c r="D242" t="s">
        <v>99</v>
      </c>
      <c r="E242" t="s">
        <v>12</v>
      </c>
      <c r="F242" t="s">
        <v>12</v>
      </c>
    </row>
    <row r="243" spans="1:6">
      <c r="A243" t="s">
        <v>131</v>
      </c>
      <c r="B243" t="str">
        <f>"10673342243450387153"</f>
        <v>10673342243450387153</v>
      </c>
      <c r="C243" s="4">
        <v>45453</v>
      </c>
      <c r="D243" t="s">
        <v>99</v>
      </c>
      <c r="E243" t="s">
        <v>12</v>
      </c>
      <c r="F243" t="s">
        <v>12</v>
      </c>
    </row>
    <row r="244" spans="1:6">
      <c r="A244" t="s">
        <v>132</v>
      </c>
      <c r="B244" t="str">
        <f>"10673342243450298602"</f>
        <v>10673342243450298602</v>
      </c>
      <c r="C244" s="4">
        <v>45453</v>
      </c>
      <c r="D244" t="s">
        <v>99</v>
      </c>
      <c r="E244" t="s">
        <v>12</v>
      </c>
      <c r="F244" t="s">
        <v>12</v>
      </c>
    </row>
    <row r="245" spans="1:6">
      <c r="A245" t="s">
        <v>136</v>
      </c>
      <c r="B245" t="str">
        <f>"10673342243450716204"</f>
        <v>10673342243450716204</v>
      </c>
      <c r="C245" s="4">
        <v>45454</v>
      </c>
      <c r="D245" t="s">
        <v>99</v>
      </c>
      <c r="E245" t="s">
        <v>12</v>
      </c>
      <c r="F245" t="s">
        <v>12</v>
      </c>
    </row>
    <row r="246" spans="1:6">
      <c r="A246" t="s">
        <v>137</v>
      </c>
      <c r="B246" t="str">
        <f>"10673342243450720479"</f>
        <v>10673342243450720479</v>
      </c>
      <c r="C246" s="4">
        <v>45454</v>
      </c>
      <c r="D246" t="s">
        <v>99</v>
      </c>
      <c r="E246" t="s">
        <v>12</v>
      </c>
      <c r="F246" t="s">
        <v>12</v>
      </c>
    </row>
    <row r="247" spans="1:6">
      <c r="A247" t="s">
        <v>138</v>
      </c>
      <c r="B247" t="str">
        <f>"10673342243450694109"</f>
        <v>10673342243450694109</v>
      </c>
      <c r="C247" s="4">
        <v>45454</v>
      </c>
      <c r="D247" t="s">
        <v>99</v>
      </c>
      <c r="E247" t="s">
        <v>12</v>
      </c>
      <c r="F247" t="s">
        <v>12</v>
      </c>
    </row>
    <row r="248" spans="1:6">
      <c r="A248" t="s">
        <v>139</v>
      </c>
      <c r="B248" t="str">
        <f>"10673342243450653119"</f>
        <v>10673342243450653119</v>
      </c>
      <c r="C248" s="4">
        <v>45454</v>
      </c>
      <c r="D248" t="s">
        <v>99</v>
      </c>
      <c r="E248" t="s">
        <v>12</v>
      </c>
      <c r="F248" t="s">
        <v>12</v>
      </c>
    </row>
    <row r="249" spans="1:6">
      <c r="A249" t="s">
        <v>140</v>
      </c>
      <c r="B249" t="str">
        <f>"10673342243456928195"</f>
        <v>10673342243456928195</v>
      </c>
      <c r="C249" s="4">
        <v>45470</v>
      </c>
      <c r="D249" t="s">
        <v>99</v>
      </c>
      <c r="E249" t="s">
        <v>12</v>
      </c>
      <c r="F249" t="s">
        <v>12</v>
      </c>
    </row>
    <row r="250" spans="1:6">
      <c r="A250" t="s">
        <v>141</v>
      </c>
      <c r="B250" t="str">
        <f>"10673342243450595984"</f>
        <v>10673342243450595984</v>
      </c>
      <c r="C250" s="4">
        <v>45454</v>
      </c>
      <c r="D250" t="s">
        <v>99</v>
      </c>
      <c r="E250" t="s">
        <v>12</v>
      </c>
      <c r="F250" t="s">
        <v>12</v>
      </c>
    </row>
    <row r="251" spans="1:6">
      <c r="A251" t="s">
        <v>143</v>
      </c>
      <c r="B251" t="str">
        <f>"10673342243450569134"</f>
        <v>10673342243450569134</v>
      </c>
      <c r="C251" s="4">
        <v>45454</v>
      </c>
      <c r="D251" t="s">
        <v>99</v>
      </c>
      <c r="E251" t="s">
        <v>12</v>
      </c>
      <c r="F251" t="s">
        <v>12</v>
      </c>
    </row>
    <row r="252" spans="1:6">
      <c r="A252" t="s">
        <v>148</v>
      </c>
      <c r="B252" t="str">
        <f>"18810577240530183648"</f>
        <v>18810577240530183648</v>
      </c>
      <c r="C252" s="4">
        <v>45442</v>
      </c>
      <c r="D252" t="s">
        <v>99</v>
      </c>
      <c r="E252" t="s">
        <v>12</v>
      </c>
      <c r="F252" t="s">
        <v>12</v>
      </c>
    </row>
    <row r="253" spans="1:6">
      <c r="A253" t="s">
        <v>151</v>
      </c>
      <c r="B253" t="str">
        <f>"10673342243457395980"</f>
        <v>10673342243457395980</v>
      </c>
      <c r="C253" s="4">
        <v>45471</v>
      </c>
      <c r="D253" t="s">
        <v>99</v>
      </c>
      <c r="E253" t="s">
        <v>12</v>
      </c>
      <c r="F253" t="s">
        <v>12</v>
      </c>
    </row>
    <row r="254" spans="1:6">
      <c r="A254" t="s">
        <v>152</v>
      </c>
      <c r="B254" t="str">
        <f>"10673342243447442781"</f>
        <v>10673342243447442781</v>
      </c>
      <c r="C254" s="4">
        <v>45443</v>
      </c>
      <c r="D254" t="s">
        <v>99</v>
      </c>
      <c r="E254" t="s">
        <v>12</v>
      </c>
      <c r="F254" t="s">
        <v>12</v>
      </c>
    </row>
    <row r="255" spans="1:6">
      <c r="A255" t="s">
        <v>153</v>
      </c>
      <c r="B255" t="str">
        <f>"10673342243447427499"</f>
        <v>10673342243447427499</v>
      </c>
      <c r="C255" s="4">
        <v>45443</v>
      </c>
      <c r="D255" t="s">
        <v>99</v>
      </c>
      <c r="E255" t="s">
        <v>12</v>
      </c>
      <c r="F255" t="s">
        <v>12</v>
      </c>
    </row>
    <row r="256" spans="1:6">
      <c r="A256" t="s">
        <v>154</v>
      </c>
      <c r="B256" t="str">
        <f>"10673342243447388329"</f>
        <v>10673342243447388329</v>
      </c>
      <c r="C256" s="4">
        <v>45443</v>
      </c>
      <c r="D256" t="s">
        <v>99</v>
      </c>
      <c r="E256" t="s">
        <v>12</v>
      </c>
      <c r="F256" t="s">
        <v>12</v>
      </c>
    </row>
    <row r="257" spans="1:6">
      <c r="A257" t="s">
        <v>155</v>
      </c>
      <c r="B257" t="str">
        <f>"10673342243447374263"</f>
        <v>10673342243447374263</v>
      </c>
      <c r="C257" s="4">
        <v>45443</v>
      </c>
      <c r="D257" t="s">
        <v>99</v>
      </c>
      <c r="E257" t="s">
        <v>12</v>
      </c>
      <c r="F257" t="s">
        <v>12</v>
      </c>
    </row>
    <row r="258" spans="1:6">
      <c r="A258" t="s">
        <v>157</v>
      </c>
      <c r="B258" t="str">
        <f>"10673342243447915566"</f>
        <v>10673342243447915566</v>
      </c>
      <c r="C258" s="4">
        <v>45446</v>
      </c>
      <c r="D258" t="s">
        <v>99</v>
      </c>
      <c r="E258" t="s">
        <v>12</v>
      </c>
      <c r="F258" t="s">
        <v>12</v>
      </c>
    </row>
    <row r="259" spans="1:6">
      <c r="A259" t="s">
        <v>158</v>
      </c>
      <c r="B259" t="str">
        <f>"10673342243447890709"</f>
        <v>10673342243447890709</v>
      </c>
      <c r="C259" s="4">
        <v>45446</v>
      </c>
      <c r="D259" t="s">
        <v>99</v>
      </c>
      <c r="E259" t="s">
        <v>12</v>
      </c>
      <c r="F259" t="s">
        <v>12</v>
      </c>
    </row>
    <row r="260" spans="1:6">
      <c r="A260" t="s">
        <v>159</v>
      </c>
      <c r="B260" t="str">
        <f>"10673342243448789084"</f>
        <v>10673342243448789084</v>
      </c>
      <c r="C260" s="4">
        <v>45448</v>
      </c>
      <c r="D260" t="s">
        <v>99</v>
      </c>
      <c r="E260" t="s">
        <v>12</v>
      </c>
      <c r="F260" t="s">
        <v>12</v>
      </c>
    </row>
    <row r="261" spans="1:6">
      <c r="A261" t="s">
        <v>160</v>
      </c>
      <c r="B261" t="str">
        <f>"10673342243448779348"</f>
        <v>10673342243448779348</v>
      </c>
      <c r="C261" s="4">
        <v>45448</v>
      </c>
      <c r="D261" t="s">
        <v>99</v>
      </c>
      <c r="E261" t="s">
        <v>12</v>
      </c>
      <c r="F261" t="s">
        <v>12</v>
      </c>
    </row>
    <row r="262" spans="1:6">
      <c r="A262" t="s">
        <v>161</v>
      </c>
      <c r="B262" t="str">
        <f>"10673342243449465851"</f>
        <v>10673342243449465851</v>
      </c>
      <c r="C262" s="4">
        <v>45449</v>
      </c>
      <c r="D262" t="s">
        <v>99</v>
      </c>
      <c r="E262" t="s">
        <v>12</v>
      </c>
      <c r="F262" t="s">
        <v>12</v>
      </c>
    </row>
    <row r="263" spans="1:6">
      <c r="A263" t="s">
        <v>162</v>
      </c>
      <c r="B263" t="str">
        <f>"10673342243457395980"</f>
        <v>10673342243457395980</v>
      </c>
      <c r="C263" s="4">
        <v>45471</v>
      </c>
      <c r="D263" t="s">
        <v>99</v>
      </c>
      <c r="E263" t="s">
        <v>12</v>
      </c>
      <c r="F263" t="s">
        <v>12</v>
      </c>
    </row>
    <row r="264" spans="1:6">
      <c r="A264" t="s">
        <v>163</v>
      </c>
      <c r="B264" t="str">
        <f>"10673342243449318204"</f>
        <v>10673342243449318204</v>
      </c>
      <c r="C264" s="4">
        <v>45449</v>
      </c>
      <c r="D264" t="s">
        <v>99</v>
      </c>
      <c r="E264" t="s">
        <v>12</v>
      </c>
      <c r="F264" t="s">
        <v>12</v>
      </c>
    </row>
    <row r="265" spans="1:6">
      <c r="A265" t="s">
        <v>164</v>
      </c>
      <c r="B265" t="str">
        <f>"10673342243449198861"</f>
        <v>10673342243449198861</v>
      </c>
      <c r="C265" s="4">
        <v>45449</v>
      </c>
      <c r="D265" t="s">
        <v>99</v>
      </c>
      <c r="E265" t="s">
        <v>12</v>
      </c>
      <c r="F265" t="s">
        <v>12</v>
      </c>
    </row>
    <row r="266" spans="1:6">
      <c r="A266" t="s">
        <v>173</v>
      </c>
      <c r="B266" t="str">
        <f>"10673342243457315901"</f>
        <v>10673342243457315901</v>
      </c>
      <c r="C266" s="4">
        <v>45471</v>
      </c>
      <c r="D266" t="s">
        <v>99</v>
      </c>
      <c r="E266" t="s">
        <v>12</v>
      </c>
      <c r="F266" t="s">
        <v>12</v>
      </c>
    </row>
    <row r="267" spans="1:6">
      <c r="A267" t="s">
        <v>184</v>
      </c>
      <c r="B267" t="str">
        <f>"10673342243452302593"</f>
        <v>10673342243452302593</v>
      </c>
      <c r="C267" s="4">
        <v>45457</v>
      </c>
      <c r="D267" t="s">
        <v>99</v>
      </c>
      <c r="E267" t="s">
        <v>12</v>
      </c>
      <c r="F267" t="s">
        <v>12</v>
      </c>
    </row>
    <row r="268" spans="1:6">
      <c r="A268" t="s">
        <v>231</v>
      </c>
      <c r="B268" t="str">
        <f>"10673342243456117987"</f>
        <v>10673342243456117987</v>
      </c>
      <c r="C268" s="4">
        <v>45468</v>
      </c>
      <c r="D268" t="s">
        <v>99</v>
      </c>
      <c r="E268" t="s">
        <v>12</v>
      </c>
      <c r="F268" t="s">
        <v>12</v>
      </c>
    </row>
    <row r="269" spans="1:6">
      <c r="A269" t="s">
        <v>103</v>
      </c>
      <c r="B269" t="str">
        <f>"10673342233404244792"</f>
        <v>10673342233404244792</v>
      </c>
      <c r="C269" s="4">
        <v>45285</v>
      </c>
      <c r="D269" t="s">
        <v>99</v>
      </c>
      <c r="E269" t="s">
        <v>12</v>
      </c>
      <c r="F269" t="s">
        <v>12</v>
      </c>
    </row>
    <row r="270" spans="1:6">
      <c r="A270" t="s">
        <v>104</v>
      </c>
      <c r="B270" t="str">
        <f>"10673342233401661023"</f>
        <v>10673342233401661023</v>
      </c>
      <c r="C270" s="4">
        <v>45271</v>
      </c>
      <c r="D270" t="s">
        <v>99</v>
      </c>
      <c r="E270" t="s">
        <v>12</v>
      </c>
      <c r="F270" t="s">
        <v>12</v>
      </c>
    </row>
    <row r="271" spans="1:6">
      <c r="A271" t="s">
        <v>106</v>
      </c>
      <c r="B271" t="str">
        <f>"10673342233401199427"</f>
        <v>10673342233401199427</v>
      </c>
      <c r="C271" s="4">
        <v>45268</v>
      </c>
      <c r="D271" t="s">
        <v>99</v>
      </c>
      <c r="E271" t="s">
        <v>12</v>
      </c>
      <c r="F271" t="s">
        <v>12</v>
      </c>
    </row>
    <row r="272" spans="1:6">
      <c r="A272" t="s">
        <v>236</v>
      </c>
      <c r="B272" t="str">
        <f>"10673342233402466054"</f>
        <v>10673342233402466054</v>
      </c>
      <c r="C272" s="4">
        <v>45274</v>
      </c>
      <c r="D272" t="s">
        <v>99</v>
      </c>
      <c r="E272" t="s">
        <v>12</v>
      </c>
      <c r="F272" t="s">
        <v>12</v>
      </c>
    </row>
    <row r="273" spans="1:6">
      <c r="A273" t="s">
        <v>232</v>
      </c>
      <c r="B273" t="str">
        <f>"10673342233496921158"</f>
        <v>10673342233496921158</v>
      </c>
      <c r="C273" s="4">
        <v>45252</v>
      </c>
      <c r="D273" t="s">
        <v>99</v>
      </c>
      <c r="E273" t="s">
        <v>12</v>
      </c>
      <c r="F273" t="s">
        <v>12</v>
      </c>
    </row>
    <row r="274" spans="1:6">
      <c r="A274" t="s">
        <v>233</v>
      </c>
      <c r="B274" t="str">
        <f>"10673342233496347976"</f>
        <v>10673342233496347976</v>
      </c>
      <c r="C274" s="4">
        <v>45250</v>
      </c>
      <c r="D274" t="s">
        <v>99</v>
      </c>
      <c r="E274" t="s">
        <v>12</v>
      </c>
      <c r="F274" t="s">
        <v>12</v>
      </c>
    </row>
    <row r="275" spans="1:6">
      <c r="A275" t="s">
        <v>239</v>
      </c>
      <c r="B275" t="str">
        <f>"10673342233496921158"</f>
        <v>10673342233496921158</v>
      </c>
      <c r="C275" s="4">
        <v>45252</v>
      </c>
      <c r="D275" t="s">
        <v>99</v>
      </c>
      <c r="E275" t="s">
        <v>12</v>
      </c>
      <c r="F275" t="s">
        <v>12</v>
      </c>
    </row>
    <row r="276" spans="1:6">
      <c r="A276" t="s">
        <v>234</v>
      </c>
      <c r="B276" t="str">
        <f>"10673342233496347976"</f>
        <v>10673342233496347976</v>
      </c>
      <c r="C276" s="4">
        <v>45250</v>
      </c>
      <c r="D276" t="s">
        <v>99</v>
      </c>
      <c r="E276" t="s">
        <v>12</v>
      </c>
      <c r="F276" t="s">
        <v>12</v>
      </c>
    </row>
    <row r="277" spans="1:6">
      <c r="A277" t="s">
        <v>107</v>
      </c>
      <c r="B277" t="str">
        <f>"10673342233496921158"</f>
        <v>10673342233496921158</v>
      </c>
      <c r="C277" s="4">
        <v>45252</v>
      </c>
      <c r="D277" t="s">
        <v>99</v>
      </c>
      <c r="E277" t="s">
        <v>12</v>
      </c>
      <c r="F277" t="s">
        <v>12</v>
      </c>
    </row>
    <row r="278" spans="1:6">
      <c r="A278" t="s">
        <v>235</v>
      </c>
      <c r="B278" t="str">
        <f>"10673342233404756076"</f>
        <v>10673342233404756076</v>
      </c>
      <c r="C278" s="4">
        <v>45286</v>
      </c>
      <c r="D278" t="s">
        <v>99</v>
      </c>
      <c r="E278" t="s">
        <v>12</v>
      </c>
      <c r="F278" t="s">
        <v>12</v>
      </c>
    </row>
    <row r="279" spans="1:6">
      <c r="A279" t="s">
        <v>108</v>
      </c>
      <c r="B279" t="str">
        <f>"10673342233497555580"</f>
        <v>10673342233497555580</v>
      </c>
      <c r="C279" s="4">
        <v>45253</v>
      </c>
      <c r="D279" t="s">
        <v>99</v>
      </c>
      <c r="E279" t="s">
        <v>12</v>
      </c>
      <c r="F279" t="s">
        <v>12</v>
      </c>
    </row>
    <row r="280" spans="1:6">
      <c r="A280" t="s">
        <v>109</v>
      </c>
      <c r="B280" t="str">
        <f>"10673342233497627626"</f>
        <v>10673342233497627626</v>
      </c>
      <c r="C280" s="4">
        <v>45254</v>
      </c>
      <c r="D280" t="s">
        <v>99</v>
      </c>
      <c r="E280" t="s">
        <v>12</v>
      </c>
      <c r="F280" t="s">
        <v>12</v>
      </c>
    </row>
    <row r="281" spans="1:6">
      <c r="A281" t="s">
        <v>110</v>
      </c>
      <c r="B281" t="str">
        <f>"10673342233496171088"</f>
        <v>10673342233496171088</v>
      </c>
      <c r="C281" s="4">
        <v>45247</v>
      </c>
      <c r="D281" t="s">
        <v>99</v>
      </c>
      <c r="E281" t="s">
        <v>12</v>
      </c>
      <c r="F281" t="s">
        <v>12</v>
      </c>
    </row>
    <row r="282" spans="1:6">
      <c r="A282" t="s">
        <v>114</v>
      </c>
      <c r="B282" t="str">
        <f>"10673342233493889319"</f>
        <v>10673342233493889319</v>
      </c>
      <c r="C282" s="4">
        <v>45240</v>
      </c>
      <c r="D282" t="s">
        <v>99</v>
      </c>
      <c r="E282" t="s">
        <v>12</v>
      </c>
      <c r="F282" t="s">
        <v>12</v>
      </c>
    </row>
    <row r="283" spans="1:6">
      <c r="A283" t="s">
        <v>115</v>
      </c>
      <c r="B283" t="str">
        <f>"10673342233493889319"</f>
        <v>10673342233493889319</v>
      </c>
      <c r="C283" s="4">
        <v>45240</v>
      </c>
      <c r="D283" t="s">
        <v>99</v>
      </c>
      <c r="E283" t="s">
        <v>12</v>
      </c>
      <c r="F283" t="s">
        <v>12</v>
      </c>
    </row>
    <row r="284" spans="1:6">
      <c r="A284" t="s">
        <v>116</v>
      </c>
      <c r="B284" t="str">
        <f>"10673342233494390890"</f>
        <v>10673342233494390890</v>
      </c>
      <c r="C284" s="4">
        <v>45243</v>
      </c>
      <c r="D284" t="s">
        <v>99</v>
      </c>
      <c r="E284" t="s">
        <v>12</v>
      </c>
      <c r="F284" t="s">
        <v>12</v>
      </c>
    </row>
    <row r="285" spans="1:6">
      <c r="A285" t="s">
        <v>117</v>
      </c>
      <c r="B285" t="str">
        <f>"10673342233494346174"</f>
        <v>10673342233494346174</v>
      </c>
      <c r="C285" s="4">
        <v>45243</v>
      </c>
      <c r="D285" t="s">
        <v>99</v>
      </c>
      <c r="E285" t="s">
        <v>12</v>
      </c>
      <c r="F285" t="s">
        <v>12</v>
      </c>
    </row>
    <row r="286" spans="1:6">
      <c r="A286" t="s">
        <v>118</v>
      </c>
      <c r="B286" t="str">
        <f>"10673342233402828940"</f>
        <v>10673342233402828940</v>
      </c>
      <c r="C286" s="4">
        <v>45275</v>
      </c>
      <c r="D286" t="s">
        <v>99</v>
      </c>
      <c r="E286" t="s">
        <v>12</v>
      </c>
      <c r="F286" t="s">
        <v>12</v>
      </c>
    </row>
    <row r="287" spans="1:6">
      <c r="A287" t="s">
        <v>119</v>
      </c>
      <c r="B287" t="str">
        <f>"10673342233494817703"</f>
        <v>10673342233494817703</v>
      </c>
      <c r="C287" s="4">
        <v>45244</v>
      </c>
      <c r="D287" t="s">
        <v>99</v>
      </c>
      <c r="E287" t="s">
        <v>12</v>
      </c>
      <c r="F287" t="s">
        <v>12</v>
      </c>
    </row>
    <row r="288" spans="1:6">
      <c r="A288" t="s">
        <v>120</v>
      </c>
      <c r="B288" t="str">
        <f>"10673342233494817703"</f>
        <v>10673342233494817703</v>
      </c>
      <c r="C288" s="4">
        <v>45244</v>
      </c>
      <c r="D288" t="s">
        <v>99</v>
      </c>
      <c r="E288" t="s">
        <v>12</v>
      </c>
      <c r="F288" t="s">
        <v>12</v>
      </c>
    </row>
    <row r="289" spans="1:6">
      <c r="A289" t="s">
        <v>121</v>
      </c>
      <c r="B289" t="str">
        <f>"10673342233494598130"</f>
        <v>10673342233494598130</v>
      </c>
      <c r="C289" s="4">
        <v>45244</v>
      </c>
      <c r="D289" t="s">
        <v>99</v>
      </c>
      <c r="E289" t="s">
        <v>12</v>
      </c>
      <c r="F289" t="s">
        <v>12</v>
      </c>
    </row>
    <row r="290" spans="1:6">
      <c r="A290" t="s">
        <v>122</v>
      </c>
      <c r="B290" t="str">
        <f>"10673342233494817703"</f>
        <v>10673342233494817703</v>
      </c>
      <c r="C290" s="4">
        <v>45244</v>
      </c>
      <c r="D290" t="s">
        <v>99</v>
      </c>
      <c r="E290" t="s">
        <v>12</v>
      </c>
      <c r="F290" t="s">
        <v>12</v>
      </c>
    </row>
    <row r="291" spans="1:6">
      <c r="A291" t="s">
        <v>123</v>
      </c>
      <c r="B291" t="str">
        <f>"10673342233494598130"</f>
        <v>10673342233494598130</v>
      </c>
      <c r="C291" s="4">
        <v>45244</v>
      </c>
      <c r="D291" t="s">
        <v>99</v>
      </c>
      <c r="E291" t="s">
        <v>12</v>
      </c>
      <c r="F291" t="s">
        <v>12</v>
      </c>
    </row>
    <row r="292" spans="1:6">
      <c r="A292" t="s">
        <v>124</v>
      </c>
      <c r="B292" t="str">
        <f>"10673342233494346174"</f>
        <v>10673342233494346174</v>
      </c>
      <c r="C292" s="4">
        <v>45243</v>
      </c>
      <c r="D292" t="s">
        <v>99</v>
      </c>
      <c r="E292" t="s">
        <v>12</v>
      </c>
      <c r="F292" t="s">
        <v>12</v>
      </c>
    </row>
    <row r="293" spans="1:6">
      <c r="A293" t="s">
        <v>125</v>
      </c>
      <c r="B293" t="str">
        <f>"10673342233494817703"</f>
        <v>10673342233494817703</v>
      </c>
      <c r="C293" s="4">
        <v>45244</v>
      </c>
      <c r="D293" t="s">
        <v>99</v>
      </c>
      <c r="E293" t="s">
        <v>12</v>
      </c>
      <c r="F293" t="s">
        <v>12</v>
      </c>
    </row>
    <row r="294" spans="1:6">
      <c r="A294" t="s">
        <v>126</v>
      </c>
      <c r="B294" t="str">
        <f>"10673342233494598130"</f>
        <v>10673342233494598130</v>
      </c>
      <c r="C294" s="4">
        <v>45244</v>
      </c>
      <c r="D294" t="s">
        <v>99</v>
      </c>
      <c r="E294" t="s">
        <v>12</v>
      </c>
      <c r="F294" t="s">
        <v>12</v>
      </c>
    </row>
    <row r="295" spans="1:6">
      <c r="A295" t="s">
        <v>127</v>
      </c>
      <c r="B295" t="str">
        <f>"10673342233491781112"</f>
        <v>10673342233491781112</v>
      </c>
      <c r="C295" s="4">
        <v>45233</v>
      </c>
      <c r="D295" t="s">
        <v>99</v>
      </c>
      <c r="E295" t="s">
        <v>12</v>
      </c>
      <c r="F295" t="s">
        <v>12</v>
      </c>
    </row>
    <row r="296" spans="1:6">
      <c r="A296" t="s">
        <v>128</v>
      </c>
      <c r="B296" t="str">
        <f>"10673342233492165458"</f>
        <v>10673342233492165458</v>
      </c>
      <c r="C296" s="4">
        <v>45237</v>
      </c>
      <c r="D296" t="s">
        <v>99</v>
      </c>
      <c r="E296" t="s">
        <v>12</v>
      </c>
      <c r="F296" t="s">
        <v>12</v>
      </c>
    </row>
    <row r="297" spans="1:6">
      <c r="A297" t="s">
        <v>129</v>
      </c>
      <c r="B297" t="str">
        <f>"10673342233405059662"</f>
        <v>10673342233405059662</v>
      </c>
      <c r="C297" s="4">
        <v>45287</v>
      </c>
      <c r="D297" t="s">
        <v>99</v>
      </c>
      <c r="E297" t="s">
        <v>12</v>
      </c>
      <c r="F297" t="s">
        <v>12</v>
      </c>
    </row>
    <row r="298" spans="1:6">
      <c r="A298" t="s">
        <v>130</v>
      </c>
      <c r="B298" t="str">
        <f>"10673342233492715896"</f>
        <v>10673342233492715896</v>
      </c>
      <c r="C298" s="4">
        <v>45238</v>
      </c>
      <c r="D298" t="s">
        <v>99</v>
      </c>
      <c r="E298" t="s">
        <v>12</v>
      </c>
      <c r="F298" t="s">
        <v>12</v>
      </c>
    </row>
    <row r="299" spans="1:6">
      <c r="A299" t="s">
        <v>131</v>
      </c>
      <c r="B299" t="str">
        <f>"10673342233489727637"</f>
        <v>10673342233489727637</v>
      </c>
      <c r="C299" s="4">
        <v>45226</v>
      </c>
      <c r="D299" t="s">
        <v>99</v>
      </c>
      <c r="E299" t="s">
        <v>12</v>
      </c>
      <c r="F299" t="s">
        <v>12</v>
      </c>
    </row>
    <row r="300" spans="1:6">
      <c r="A300" t="s">
        <v>132</v>
      </c>
      <c r="B300" t="str">
        <f>"10673342233489651691"</f>
        <v>10673342233489651691</v>
      </c>
      <c r="C300" s="4">
        <v>45226</v>
      </c>
      <c r="D300" t="s">
        <v>99</v>
      </c>
      <c r="E300" t="s">
        <v>12</v>
      </c>
      <c r="F300" t="s">
        <v>12</v>
      </c>
    </row>
    <row r="301" spans="1:6">
      <c r="A301" t="s">
        <v>133</v>
      </c>
      <c r="B301" t="str">
        <f>"10673342233489563006"</f>
        <v>10673342233489563006</v>
      </c>
      <c r="C301" s="4">
        <v>45226</v>
      </c>
      <c r="D301" t="s">
        <v>99</v>
      </c>
      <c r="E301" t="s">
        <v>12</v>
      </c>
      <c r="F301" t="s">
        <v>12</v>
      </c>
    </row>
    <row r="302" spans="1:6">
      <c r="A302" t="s">
        <v>134</v>
      </c>
      <c r="B302" t="str">
        <f>"10673342233490013138"</f>
        <v>10673342233490013138</v>
      </c>
      <c r="C302" s="4">
        <v>45229</v>
      </c>
      <c r="D302" t="s">
        <v>99</v>
      </c>
      <c r="E302" t="s">
        <v>12</v>
      </c>
      <c r="F302" t="s">
        <v>12</v>
      </c>
    </row>
    <row r="303" spans="1:6">
      <c r="A303" t="s">
        <v>135</v>
      </c>
      <c r="B303" t="str">
        <f>"10673342233489902927"</f>
        <v>10673342233489902927</v>
      </c>
      <c r="C303" s="4">
        <v>45229</v>
      </c>
      <c r="D303" t="s">
        <v>99</v>
      </c>
      <c r="E303" t="s">
        <v>12</v>
      </c>
      <c r="F303" t="s">
        <v>12</v>
      </c>
    </row>
    <row r="304" spans="1:6">
      <c r="A304" t="s">
        <v>136</v>
      </c>
      <c r="B304" t="str">
        <f>"10673342233490466345"</f>
        <v>10673342233490466345</v>
      </c>
      <c r="C304" s="4">
        <v>45230</v>
      </c>
      <c r="D304" t="s">
        <v>99</v>
      </c>
      <c r="E304" t="s">
        <v>12</v>
      </c>
      <c r="F304" t="s">
        <v>12</v>
      </c>
    </row>
    <row r="305" spans="1:6">
      <c r="A305" t="s">
        <v>137</v>
      </c>
      <c r="B305" t="str">
        <f>"10673342233490332470"</f>
        <v>10673342233490332470</v>
      </c>
      <c r="C305" s="4">
        <v>45230</v>
      </c>
      <c r="D305" t="s">
        <v>99</v>
      </c>
      <c r="E305" t="s">
        <v>12</v>
      </c>
      <c r="F305" t="s">
        <v>12</v>
      </c>
    </row>
    <row r="306" spans="1:6">
      <c r="A306" t="s">
        <v>138</v>
      </c>
      <c r="B306" t="str">
        <f>"10673342233490974073"</f>
        <v>10673342233490974073</v>
      </c>
      <c r="C306" s="4">
        <v>45231</v>
      </c>
      <c r="D306" t="s">
        <v>99</v>
      </c>
      <c r="E306" t="s">
        <v>12</v>
      </c>
      <c r="F306" t="s">
        <v>12</v>
      </c>
    </row>
    <row r="307" spans="1:6">
      <c r="A307" t="s">
        <v>139</v>
      </c>
      <c r="B307" t="str">
        <f>"10673342233490910849"</f>
        <v>10673342233490910849</v>
      </c>
      <c r="C307" s="4">
        <v>45231</v>
      </c>
      <c r="D307" t="s">
        <v>99</v>
      </c>
      <c r="E307" t="s">
        <v>12</v>
      </c>
      <c r="F307" t="s">
        <v>12</v>
      </c>
    </row>
    <row r="308" spans="1:6">
      <c r="A308" t="s">
        <v>140</v>
      </c>
      <c r="B308" t="str">
        <f>"10673342233403104733"</f>
        <v>10673342233403104733</v>
      </c>
      <c r="C308" s="4">
        <v>45279</v>
      </c>
      <c r="D308" t="s">
        <v>99</v>
      </c>
      <c r="E308" t="s">
        <v>12</v>
      </c>
      <c r="F308" t="s">
        <v>12</v>
      </c>
    </row>
    <row r="309" spans="1:6">
      <c r="A309" t="s">
        <v>141</v>
      </c>
      <c r="B309" t="str">
        <f>"10673342233491366646"</f>
        <v>10673342233491366646</v>
      </c>
      <c r="C309" s="4">
        <v>45232</v>
      </c>
      <c r="D309" t="s">
        <v>99</v>
      </c>
      <c r="E309" t="s">
        <v>12</v>
      </c>
      <c r="F309" t="s">
        <v>12</v>
      </c>
    </row>
    <row r="310" spans="1:6">
      <c r="A310" t="s">
        <v>142</v>
      </c>
      <c r="B310" t="str">
        <f>"10673342233491227859"</f>
        <v>10673342233491227859</v>
      </c>
      <c r="C310" s="4">
        <v>45232</v>
      </c>
      <c r="D310" t="s">
        <v>99</v>
      </c>
      <c r="E310" t="s">
        <v>12</v>
      </c>
      <c r="F310" t="s">
        <v>12</v>
      </c>
    </row>
    <row r="311" spans="1:6">
      <c r="A311" t="s">
        <v>151</v>
      </c>
      <c r="B311" t="str">
        <f>"10673342233403102838"</f>
        <v>10673342233403102838</v>
      </c>
      <c r="C311" s="4">
        <v>45279</v>
      </c>
      <c r="D311" t="s">
        <v>99</v>
      </c>
      <c r="E311" t="s">
        <v>12</v>
      </c>
      <c r="F311" t="s">
        <v>12</v>
      </c>
    </row>
    <row r="312" spans="1:6">
      <c r="A312" t="s">
        <v>162</v>
      </c>
      <c r="B312" t="str">
        <f>"10673342233403104733"</f>
        <v>10673342233403104733</v>
      </c>
      <c r="C312" s="4">
        <v>45279</v>
      </c>
      <c r="D312" t="s">
        <v>99</v>
      </c>
      <c r="E312" t="s">
        <v>12</v>
      </c>
      <c r="F312" t="s">
        <v>12</v>
      </c>
    </row>
    <row r="313" spans="1:6">
      <c r="A313" t="s">
        <v>173</v>
      </c>
      <c r="B313" t="str">
        <f>"10673342233403102838"</f>
        <v>10673342233403102838</v>
      </c>
      <c r="C313" s="4">
        <v>45279</v>
      </c>
      <c r="D313" t="s">
        <v>99</v>
      </c>
      <c r="E313" t="s">
        <v>12</v>
      </c>
      <c r="F313" t="s">
        <v>12</v>
      </c>
    </row>
    <row r="314" spans="1:6">
      <c r="A314" t="s">
        <v>184</v>
      </c>
      <c r="B314" t="str">
        <f>"10673342233401199427"</f>
        <v>10673342233401199427</v>
      </c>
      <c r="C314" s="4">
        <v>45268</v>
      </c>
      <c r="D314" t="s">
        <v>99</v>
      </c>
      <c r="E314" t="s">
        <v>12</v>
      </c>
      <c r="F314" t="s">
        <v>12</v>
      </c>
    </row>
    <row r="315" spans="1:6">
      <c r="A315" t="s">
        <v>231</v>
      </c>
      <c r="B315" t="str">
        <f>"10673342233404244792"</f>
        <v>10673342233404244792</v>
      </c>
      <c r="C315" s="4">
        <v>45285</v>
      </c>
      <c r="D315" t="s">
        <v>99</v>
      </c>
      <c r="E315" t="s">
        <v>12</v>
      </c>
      <c r="F315" t="s">
        <v>12</v>
      </c>
    </row>
    <row r="316" spans="1:6">
      <c r="A316" t="s">
        <v>240</v>
      </c>
      <c r="B316" t="str">
        <f>"10673342253454213252"</f>
        <v>10673342253454213252</v>
      </c>
      <c r="C316" s="4">
        <v>45747</v>
      </c>
      <c r="D316" t="s">
        <v>241</v>
      </c>
      <c r="E316" t="s">
        <v>242</v>
      </c>
      <c r="F316" t="s">
        <v>243</v>
      </c>
    </row>
    <row r="317" spans="1:6">
      <c r="A317" t="s">
        <v>244</v>
      </c>
      <c r="B317" t="str">
        <f>"10673342253454475633"</f>
        <v>10673342253454475633</v>
      </c>
      <c r="C317" s="4">
        <v>45747</v>
      </c>
      <c r="D317" t="s">
        <v>241</v>
      </c>
      <c r="E317" t="s">
        <v>245</v>
      </c>
      <c r="F317" t="s">
        <v>243</v>
      </c>
    </row>
    <row r="318" spans="1:6">
      <c r="A318" t="s">
        <v>246</v>
      </c>
      <c r="B318" t="str">
        <f>"10673342253453453543"</f>
        <v>10673342253453453543</v>
      </c>
      <c r="C318" s="4">
        <v>45747</v>
      </c>
      <c r="D318" t="s">
        <v>241</v>
      </c>
      <c r="E318" t="s">
        <v>247</v>
      </c>
      <c r="F318" t="s">
        <v>248</v>
      </c>
    </row>
    <row r="319" spans="1:6">
      <c r="A319" t="s">
        <v>249</v>
      </c>
      <c r="B319" t="str">
        <f>"10673342253453995737"</f>
        <v>10673342253453995737</v>
      </c>
      <c r="C319" s="4">
        <v>45747</v>
      </c>
      <c r="D319" t="s">
        <v>241</v>
      </c>
      <c r="E319" t="s">
        <v>250</v>
      </c>
      <c r="F319" t="s">
        <v>248</v>
      </c>
    </row>
    <row r="320" spans="1:6">
      <c r="A320" t="s">
        <v>251</v>
      </c>
      <c r="B320" t="str">
        <f>"10673342253453811806"</f>
        <v>10673342253453811806</v>
      </c>
      <c r="C320" s="4">
        <v>45747</v>
      </c>
      <c r="D320" t="s">
        <v>241</v>
      </c>
      <c r="E320" t="s">
        <v>252</v>
      </c>
      <c r="F320" t="s">
        <v>248</v>
      </c>
    </row>
    <row r="321" spans="1:6">
      <c r="A321" t="s">
        <v>253</v>
      </c>
      <c r="B321" t="str">
        <f>"10673342253457021389"</f>
        <v>10673342253457021389</v>
      </c>
      <c r="C321" s="4">
        <v>45750</v>
      </c>
      <c r="D321" t="s">
        <v>241</v>
      </c>
      <c r="E321" t="s">
        <v>254</v>
      </c>
      <c r="F321" t="s">
        <v>255</v>
      </c>
    </row>
    <row r="322" spans="1:6">
      <c r="A322" t="s">
        <v>256</v>
      </c>
      <c r="B322" t="str">
        <f>"10673342253457287322"</f>
        <v>10673342253457287322</v>
      </c>
      <c r="C322" s="4">
        <v>45750</v>
      </c>
      <c r="D322" t="s">
        <v>241</v>
      </c>
      <c r="E322" t="s">
        <v>257</v>
      </c>
      <c r="F322" t="s">
        <v>258</v>
      </c>
    </row>
    <row r="323" spans="1:6">
      <c r="A323" t="s">
        <v>259</v>
      </c>
      <c r="B323" t="str">
        <f>"10673342253454968423"</f>
        <v>10673342253454968423</v>
      </c>
      <c r="C323" s="4">
        <v>45747</v>
      </c>
      <c r="D323" t="s">
        <v>241</v>
      </c>
      <c r="E323" t="s">
        <v>260</v>
      </c>
      <c r="F323" t="s">
        <v>261</v>
      </c>
    </row>
    <row r="324" spans="1:6">
      <c r="A324" t="s">
        <v>262</v>
      </c>
      <c r="B324" t="str">
        <f>"10673342253457559346"</f>
        <v>10673342253457559346</v>
      </c>
      <c r="C324" s="4">
        <v>45750</v>
      </c>
      <c r="D324" t="s">
        <v>241</v>
      </c>
      <c r="E324" t="s">
        <v>263</v>
      </c>
      <c r="F324" t="s">
        <v>258</v>
      </c>
    </row>
    <row r="325" spans="1:6">
      <c r="A325" t="s">
        <v>264</v>
      </c>
      <c r="B325" t="str">
        <f>"10673342253454852646"</f>
        <v>10673342253454852646</v>
      </c>
      <c r="C325" s="4">
        <v>45747</v>
      </c>
      <c r="D325" t="s">
        <v>241</v>
      </c>
      <c r="E325" t="s">
        <v>265</v>
      </c>
      <c r="F325" t="s">
        <v>261</v>
      </c>
    </row>
    <row r="326" spans="1:6">
      <c r="A326" t="s">
        <v>266</v>
      </c>
      <c r="B326" t="str">
        <f>"10673342253454783261"</f>
        <v>10673342253454783261</v>
      </c>
      <c r="C326" s="4">
        <v>45747</v>
      </c>
      <c r="D326" t="s">
        <v>241</v>
      </c>
      <c r="E326" t="s">
        <v>267</v>
      </c>
      <c r="F326" t="s">
        <v>261</v>
      </c>
    </row>
    <row r="327" spans="1:6">
      <c r="A327" t="s">
        <v>268</v>
      </c>
      <c r="B327" t="str">
        <f>"10673342253454718184"</f>
        <v>10673342253454718184</v>
      </c>
      <c r="C327" s="4">
        <v>45747</v>
      </c>
      <c r="D327" t="s">
        <v>241</v>
      </c>
      <c r="E327" t="s">
        <v>269</v>
      </c>
      <c r="F327" t="s">
        <v>243</v>
      </c>
    </row>
    <row r="328" spans="1:6">
      <c r="A328" t="s">
        <v>270</v>
      </c>
      <c r="B328" t="str">
        <f>"10673342253454729958"</f>
        <v>10673342253454729958</v>
      </c>
      <c r="C328" s="4">
        <v>45747</v>
      </c>
      <c r="D328" t="s">
        <v>241</v>
      </c>
      <c r="E328" t="s">
        <v>271</v>
      </c>
      <c r="F328" t="s">
        <v>261</v>
      </c>
    </row>
    <row r="329" spans="1:6">
      <c r="A329" t="s">
        <v>272</v>
      </c>
      <c r="B329" t="str">
        <f>"10673342253454658537"</f>
        <v>10673342253454658537</v>
      </c>
      <c r="C329" s="4">
        <v>45747</v>
      </c>
      <c r="D329" t="s">
        <v>241</v>
      </c>
      <c r="E329" t="s">
        <v>273</v>
      </c>
      <c r="F329" t="s">
        <v>243</v>
      </c>
    </row>
    <row r="330" spans="1:6">
      <c r="A330" t="s">
        <v>274</v>
      </c>
      <c r="B330" t="str">
        <f>"10673342253455158786"</f>
        <v>10673342253455158786</v>
      </c>
      <c r="C330" s="4">
        <v>45749</v>
      </c>
      <c r="D330" t="s">
        <v>241</v>
      </c>
      <c r="E330" t="s">
        <v>275</v>
      </c>
      <c r="F330" t="s">
        <v>276</v>
      </c>
    </row>
    <row r="331" spans="1:6">
      <c r="A331" t="s">
        <v>277</v>
      </c>
      <c r="B331" t="str">
        <f>"10673342253456433489"</f>
        <v>10673342253456433489</v>
      </c>
      <c r="C331" s="4">
        <v>45749</v>
      </c>
      <c r="D331" t="s">
        <v>241</v>
      </c>
      <c r="E331" t="s">
        <v>278</v>
      </c>
      <c r="F331" t="s">
        <v>276</v>
      </c>
    </row>
    <row r="332" spans="1:6">
      <c r="A332" t="s">
        <v>279</v>
      </c>
      <c r="B332" t="str">
        <f>"10673342253455683678"</f>
        <v>10673342253455683678</v>
      </c>
      <c r="C332" s="4">
        <v>45749</v>
      </c>
      <c r="D332" t="s">
        <v>241</v>
      </c>
      <c r="E332" t="s">
        <v>280</v>
      </c>
      <c r="F332" t="s">
        <v>276</v>
      </c>
    </row>
    <row r="333" spans="1:6">
      <c r="A333" t="s">
        <v>281</v>
      </c>
      <c r="B333" t="str">
        <f>"10673342253455697806"</f>
        <v>10673342253455697806</v>
      </c>
      <c r="C333" s="4">
        <v>45749</v>
      </c>
      <c r="D333" t="s">
        <v>241</v>
      </c>
      <c r="E333" t="s">
        <v>282</v>
      </c>
      <c r="F333" t="s">
        <v>276</v>
      </c>
    </row>
    <row r="334" spans="1:6">
      <c r="A334" t="s">
        <v>283</v>
      </c>
      <c r="B334" t="str">
        <f>"10673342253445209310"</f>
        <v>10673342253445209310</v>
      </c>
      <c r="C334" s="4">
        <v>45749</v>
      </c>
      <c r="D334" t="s">
        <v>99</v>
      </c>
      <c r="E334" t="s">
        <v>12</v>
      </c>
      <c r="F334" t="s">
        <v>12</v>
      </c>
    </row>
    <row r="335" spans="1:6">
      <c r="A335" t="s">
        <v>284</v>
      </c>
      <c r="B335" t="str">
        <f>"10673342253445537113"</f>
        <v>10673342253445537113</v>
      </c>
      <c r="C335" s="4">
        <v>45749</v>
      </c>
      <c r="D335" t="s">
        <v>241</v>
      </c>
      <c r="E335" t="s">
        <v>285</v>
      </c>
      <c r="F335" t="s">
        <v>286</v>
      </c>
    </row>
    <row r="336" spans="1:6">
      <c r="A336" t="s">
        <v>287</v>
      </c>
      <c r="B336" t="str">
        <f>"10673342253445259547"</f>
        <v>10673342253445259547</v>
      </c>
      <c r="C336" s="4">
        <v>45749</v>
      </c>
      <c r="D336" t="s">
        <v>99</v>
      </c>
      <c r="E336" t="s">
        <v>12</v>
      </c>
      <c r="F336" t="s">
        <v>12</v>
      </c>
    </row>
    <row r="337" spans="1:6">
      <c r="A337" t="s">
        <v>288</v>
      </c>
      <c r="B337" t="str">
        <f>"10673342253445338412"</f>
        <v>10673342253445338412</v>
      </c>
      <c r="C337" s="4">
        <v>45749</v>
      </c>
      <c r="D337" t="s">
        <v>241</v>
      </c>
      <c r="E337" t="s">
        <v>289</v>
      </c>
      <c r="F337" t="s">
        <v>286</v>
      </c>
    </row>
    <row r="338" spans="1:6">
      <c r="A338" t="s">
        <v>290</v>
      </c>
      <c r="B338" t="str">
        <f>"10673342253445636359"</f>
        <v>10673342253445636359</v>
      </c>
      <c r="C338" s="4">
        <v>45749</v>
      </c>
      <c r="D338" t="s">
        <v>241</v>
      </c>
      <c r="E338" t="s">
        <v>291</v>
      </c>
      <c r="F338" t="s">
        <v>286</v>
      </c>
    </row>
    <row r="339" spans="1:6">
      <c r="A339" t="s">
        <v>292</v>
      </c>
      <c r="B339" t="str">
        <f>"10673342253447163588"</f>
        <v>10673342253447163588</v>
      </c>
      <c r="C339" s="4">
        <v>45749</v>
      </c>
      <c r="D339" t="s">
        <v>99</v>
      </c>
      <c r="E339" t="s">
        <v>12</v>
      </c>
      <c r="F339" t="s">
        <v>12</v>
      </c>
    </row>
    <row r="340" spans="1:6">
      <c r="A340" t="s">
        <v>293</v>
      </c>
      <c r="B340" t="str">
        <f>"10673342253447449874"</f>
        <v>10673342253447449874</v>
      </c>
      <c r="C340" s="4">
        <v>45749</v>
      </c>
      <c r="D340" t="s">
        <v>99</v>
      </c>
      <c r="E340" t="s">
        <v>12</v>
      </c>
      <c r="F340" t="s">
        <v>12</v>
      </c>
    </row>
    <row r="341" spans="1:6">
      <c r="A341" t="s">
        <v>294</v>
      </c>
      <c r="B341" t="str">
        <f>"10673342253447366464"</f>
        <v>10673342253447366464</v>
      </c>
      <c r="C341" s="4">
        <v>45749</v>
      </c>
      <c r="D341" t="s">
        <v>99</v>
      </c>
      <c r="E341" t="s">
        <v>12</v>
      </c>
      <c r="F341" t="s">
        <v>12</v>
      </c>
    </row>
    <row r="342" spans="1:6">
      <c r="A342" t="s">
        <v>295</v>
      </c>
      <c r="B342" t="str">
        <f>"10673342253447496031"</f>
        <v>10673342253447496031</v>
      </c>
      <c r="C342" s="4">
        <v>45749</v>
      </c>
      <c r="D342" t="s">
        <v>99</v>
      </c>
      <c r="E342" t="s">
        <v>12</v>
      </c>
      <c r="F342" t="s">
        <v>12</v>
      </c>
    </row>
    <row r="343" spans="1:6">
      <c r="A343" t="s">
        <v>296</v>
      </c>
      <c r="B343" t="str">
        <f>"10673342253446950227"</f>
        <v>10673342253446950227</v>
      </c>
      <c r="C343" s="4">
        <v>45749</v>
      </c>
      <c r="D343" t="s">
        <v>99</v>
      </c>
      <c r="E343" t="s">
        <v>12</v>
      </c>
      <c r="F343" t="s">
        <v>12</v>
      </c>
    </row>
    <row r="344" spans="1:6">
      <c r="A344" t="s">
        <v>297</v>
      </c>
      <c r="B344" t="str">
        <f>"10673342253445657747"</f>
        <v>10673342253445657747</v>
      </c>
      <c r="C344" s="4">
        <v>45749</v>
      </c>
      <c r="D344" t="s">
        <v>241</v>
      </c>
      <c r="E344" t="s">
        <v>298</v>
      </c>
      <c r="F344" t="s">
        <v>286</v>
      </c>
    </row>
    <row r="345" spans="1:6">
      <c r="A345" t="s">
        <v>299</v>
      </c>
      <c r="B345" t="str">
        <f>"10673342253445838911"</f>
        <v>10673342253445838911</v>
      </c>
      <c r="C345" s="4">
        <v>45749</v>
      </c>
      <c r="D345" t="s">
        <v>99</v>
      </c>
      <c r="E345" t="s">
        <v>12</v>
      </c>
      <c r="F345" t="s">
        <v>12</v>
      </c>
    </row>
    <row r="346" spans="1:6">
      <c r="A346" t="s">
        <v>300</v>
      </c>
      <c r="B346" t="str">
        <f>"10673342253445696467"</f>
        <v>10673342253445696467</v>
      </c>
      <c r="C346" s="4">
        <v>45749</v>
      </c>
      <c r="D346" t="s">
        <v>99</v>
      </c>
      <c r="E346" t="s">
        <v>12</v>
      </c>
      <c r="F346" t="s">
        <v>12</v>
      </c>
    </row>
    <row r="347" spans="1:6">
      <c r="A347" t="s">
        <v>301</v>
      </c>
      <c r="B347" t="str">
        <f>"10673342253446591480"</f>
        <v>10673342253446591480</v>
      </c>
      <c r="C347" s="4">
        <v>45749</v>
      </c>
      <c r="D347" t="s">
        <v>99</v>
      </c>
      <c r="E347" t="s">
        <v>12</v>
      </c>
      <c r="F347" t="s">
        <v>12</v>
      </c>
    </row>
    <row r="348" spans="1:6">
      <c r="A348" t="s">
        <v>302</v>
      </c>
      <c r="B348" t="str">
        <f>"10673342253446612470"</f>
        <v>10673342253446612470</v>
      </c>
      <c r="C348" s="4">
        <v>45749</v>
      </c>
      <c r="D348" t="s">
        <v>99</v>
      </c>
      <c r="E348" t="s">
        <v>12</v>
      </c>
      <c r="F348" t="s">
        <v>12</v>
      </c>
    </row>
    <row r="349" spans="1:6">
      <c r="A349" t="s">
        <v>303</v>
      </c>
      <c r="B349" t="str">
        <f>"10673342253447502120"</f>
        <v>10673342253447502120</v>
      </c>
      <c r="C349" s="4">
        <v>45749</v>
      </c>
      <c r="D349" t="s">
        <v>99</v>
      </c>
      <c r="E349" t="s">
        <v>12</v>
      </c>
      <c r="F349" t="s">
        <v>12</v>
      </c>
    </row>
    <row r="350" spans="1:6">
      <c r="A350" t="s">
        <v>304</v>
      </c>
      <c r="B350" t="str">
        <f>"10673342253447571289"</f>
        <v>10673342253447571289</v>
      </c>
      <c r="C350" s="4">
        <v>45749</v>
      </c>
      <c r="D350" t="s">
        <v>99</v>
      </c>
      <c r="E350" t="s">
        <v>12</v>
      </c>
      <c r="F350" t="s">
        <v>12</v>
      </c>
    </row>
    <row r="351" spans="1:6">
      <c r="A351" t="s">
        <v>305</v>
      </c>
      <c r="B351" t="str">
        <f>"10673342253447684067"</f>
        <v>10673342253447684067</v>
      </c>
      <c r="C351" s="4">
        <v>45749</v>
      </c>
      <c r="D351" t="s">
        <v>99</v>
      </c>
      <c r="E351" t="s">
        <v>12</v>
      </c>
      <c r="F351" t="s">
        <v>12</v>
      </c>
    </row>
    <row r="352" spans="1:6">
      <c r="A352" t="s">
        <v>306</v>
      </c>
      <c r="B352" t="str">
        <f>"10673342253447954269"</f>
        <v>10673342253447954269</v>
      </c>
      <c r="C352" s="4">
        <v>45749</v>
      </c>
      <c r="D352" t="s">
        <v>241</v>
      </c>
      <c r="E352" t="s">
        <v>307</v>
      </c>
      <c r="F352" t="s">
        <v>308</v>
      </c>
    </row>
    <row r="353" spans="1:6">
      <c r="A353" t="s">
        <v>309</v>
      </c>
      <c r="B353" t="str">
        <f>"10673342253448205162"</f>
        <v>10673342253448205162</v>
      </c>
      <c r="C353" s="4">
        <v>45749</v>
      </c>
      <c r="D353" t="s">
        <v>241</v>
      </c>
      <c r="E353" t="s">
        <v>310</v>
      </c>
      <c r="F353" t="s">
        <v>308</v>
      </c>
    </row>
    <row r="354" spans="1:6">
      <c r="A354" t="s">
        <v>311</v>
      </c>
      <c r="B354" t="str">
        <f>"10673342253448440209"</f>
        <v>10673342253448440209</v>
      </c>
      <c r="C354" s="4">
        <v>45749</v>
      </c>
      <c r="D354" t="s">
        <v>241</v>
      </c>
      <c r="E354" t="s">
        <v>312</v>
      </c>
      <c r="F354" t="s">
        <v>308</v>
      </c>
    </row>
    <row r="355" spans="1:6">
      <c r="A355" t="s">
        <v>313</v>
      </c>
      <c r="B355" t="str">
        <f>"10673342253448563387"</f>
        <v>10673342253448563387</v>
      </c>
      <c r="C355" s="4">
        <v>45749</v>
      </c>
      <c r="D355" t="s">
        <v>241</v>
      </c>
      <c r="E355" t="s">
        <v>314</v>
      </c>
      <c r="F355" t="s">
        <v>315</v>
      </c>
    </row>
    <row r="356" spans="1:6">
      <c r="A356" t="s">
        <v>316</v>
      </c>
      <c r="B356" t="str">
        <f>"10673342253448495136"</f>
        <v>10673342253448495136</v>
      </c>
      <c r="C356" s="4">
        <v>45749</v>
      </c>
      <c r="D356" t="s">
        <v>241</v>
      </c>
      <c r="E356" t="s">
        <v>317</v>
      </c>
      <c r="F356" t="s">
        <v>315</v>
      </c>
    </row>
    <row r="357" spans="1:6">
      <c r="A357" t="s">
        <v>318</v>
      </c>
      <c r="B357" t="str">
        <f>"10673342253448545869"</f>
        <v>10673342253448545869</v>
      </c>
      <c r="C357" s="4">
        <v>45749</v>
      </c>
      <c r="D357" t="s">
        <v>241</v>
      </c>
      <c r="E357" t="s">
        <v>319</v>
      </c>
      <c r="F357" t="s">
        <v>315</v>
      </c>
    </row>
    <row r="358" spans="1:6">
      <c r="A358" t="s">
        <v>320</v>
      </c>
      <c r="B358" t="str">
        <f>"10673342253447978362"</f>
        <v>10673342253447978362</v>
      </c>
      <c r="C358" s="4">
        <v>45749</v>
      </c>
      <c r="D358" t="s">
        <v>241</v>
      </c>
      <c r="E358" t="s">
        <v>321</v>
      </c>
      <c r="F358" t="s">
        <v>308</v>
      </c>
    </row>
    <row r="359" spans="1:6">
      <c r="A359" t="s">
        <v>322</v>
      </c>
      <c r="B359" t="str">
        <f>"10673342253433844547"</f>
        <v>10673342253433844547</v>
      </c>
      <c r="C359" s="4">
        <v>45722</v>
      </c>
      <c r="D359" t="s">
        <v>241</v>
      </c>
      <c r="E359" t="s">
        <v>323</v>
      </c>
      <c r="F359" t="s">
        <v>324</v>
      </c>
    </row>
    <row r="360" spans="1:6">
      <c r="A360" t="s">
        <v>325</v>
      </c>
      <c r="B360" t="str">
        <f>"10673342253433366327"</f>
        <v>10673342253433366327</v>
      </c>
      <c r="C360" s="4">
        <v>45722</v>
      </c>
      <c r="D360" t="s">
        <v>241</v>
      </c>
      <c r="E360" t="s">
        <v>326</v>
      </c>
      <c r="F360" t="s">
        <v>324</v>
      </c>
    </row>
    <row r="361" spans="1:6">
      <c r="A361" t="s">
        <v>327</v>
      </c>
      <c r="B361" t="str">
        <f>"10673342253433636189"</f>
        <v>10673342253433636189</v>
      </c>
      <c r="C361" s="4">
        <v>45722</v>
      </c>
      <c r="D361" t="s">
        <v>241</v>
      </c>
      <c r="E361" t="s">
        <v>328</v>
      </c>
      <c r="F361" t="s">
        <v>324</v>
      </c>
    </row>
    <row r="362" spans="1:6">
      <c r="A362" t="s">
        <v>329</v>
      </c>
      <c r="B362" t="str">
        <f>"10673342253433241516"</f>
        <v>10673342253433241516</v>
      </c>
      <c r="C362" s="4">
        <v>45722</v>
      </c>
      <c r="D362" t="s">
        <v>99</v>
      </c>
      <c r="E362" t="s">
        <v>12</v>
      </c>
      <c r="F362" t="s">
        <v>12</v>
      </c>
    </row>
    <row r="363" spans="1:6">
      <c r="A363" t="s">
        <v>330</v>
      </c>
      <c r="B363" t="str">
        <f>"10673342253433327380"</f>
        <v>10673342253433327380</v>
      </c>
      <c r="C363" s="4">
        <v>45722</v>
      </c>
      <c r="D363" t="s">
        <v>99</v>
      </c>
      <c r="E363" t="s">
        <v>12</v>
      </c>
      <c r="F363" t="s">
        <v>12</v>
      </c>
    </row>
    <row r="364" spans="1:6">
      <c r="A364" t="s">
        <v>331</v>
      </c>
      <c r="B364" t="str">
        <f>"10673342253434869829"</f>
        <v>10673342253434869829</v>
      </c>
      <c r="C364" s="4">
        <v>45842</v>
      </c>
      <c r="D364" t="s">
        <v>241</v>
      </c>
      <c r="E364" t="s">
        <v>332</v>
      </c>
      <c r="F364" t="s">
        <v>333</v>
      </c>
    </row>
    <row r="365" spans="1:6">
      <c r="A365" t="s">
        <v>334</v>
      </c>
      <c r="B365" t="str">
        <f>"10677462254036891066"</f>
        <v>10677462254036891066</v>
      </c>
      <c r="C365" s="4">
        <v>45919</v>
      </c>
      <c r="D365" t="s">
        <v>241</v>
      </c>
      <c r="E365" t="s">
        <v>335</v>
      </c>
      <c r="F365" t="s">
        <v>336</v>
      </c>
    </row>
    <row r="366" spans="1:6">
      <c r="A366" t="s">
        <v>337</v>
      </c>
      <c r="B366" t="str">
        <f>"10677462254025680212"</f>
        <v>10677462254025680212</v>
      </c>
      <c r="C366" s="4">
        <v>45898</v>
      </c>
      <c r="D366" t="s">
        <v>241</v>
      </c>
      <c r="E366" t="s">
        <v>338</v>
      </c>
      <c r="F366" t="s">
        <v>339</v>
      </c>
    </row>
    <row r="367" spans="1:6">
      <c r="A367" t="s">
        <v>340</v>
      </c>
      <c r="B367" t="str">
        <f>"10673342253423125041"</f>
        <v>10673342253423125041</v>
      </c>
      <c r="C367" s="4">
        <v>45827</v>
      </c>
      <c r="D367" t="s">
        <v>241</v>
      </c>
      <c r="E367" t="s">
        <v>341</v>
      </c>
      <c r="F367" t="s">
        <v>342</v>
      </c>
    </row>
    <row r="368" spans="1:6">
      <c r="A368" t="s">
        <v>343</v>
      </c>
      <c r="B368" t="str">
        <f>"10673342253432327263"</f>
        <v>10673342253432327263</v>
      </c>
      <c r="C368" s="4">
        <v>45840</v>
      </c>
      <c r="D368" t="s">
        <v>241</v>
      </c>
      <c r="E368" t="s">
        <v>344</v>
      </c>
      <c r="F368" t="s">
        <v>345</v>
      </c>
    </row>
    <row r="369" spans="1:6">
      <c r="A369" t="s">
        <v>346</v>
      </c>
      <c r="B369" t="str">
        <f>"10677462254002922899"</f>
        <v>10677462254002922899</v>
      </c>
      <c r="C369" s="4">
        <v>45860</v>
      </c>
      <c r="D369" t="s">
        <v>241</v>
      </c>
      <c r="E369" t="s">
        <v>347</v>
      </c>
      <c r="F369" t="s">
        <v>348</v>
      </c>
    </row>
    <row r="370" spans="1:6">
      <c r="A370" t="s">
        <v>349</v>
      </c>
      <c r="B370" t="str">
        <f>"10677462254039705565"</f>
        <v>10677462254039705565</v>
      </c>
      <c r="C370" s="4">
        <v>45925</v>
      </c>
      <c r="D370" t="s">
        <v>241</v>
      </c>
      <c r="E370" t="s">
        <v>350</v>
      </c>
      <c r="F370" t="s">
        <v>31</v>
      </c>
    </row>
    <row r="371" spans="1:6">
      <c r="A371" t="s">
        <v>351</v>
      </c>
      <c r="B371" t="str">
        <f>"10677462254042845958"</f>
        <v>10677462254042845958</v>
      </c>
      <c r="C371" s="4">
        <v>45938</v>
      </c>
      <c r="D371" t="s">
        <v>241</v>
      </c>
      <c r="E371" t="s">
        <v>352</v>
      </c>
      <c r="F371" t="s">
        <v>31</v>
      </c>
    </row>
    <row r="372" spans="1:6">
      <c r="A372" t="s">
        <v>353</v>
      </c>
      <c r="B372" t="str">
        <f>"10673342253440303149"</f>
        <v>10673342253440303149</v>
      </c>
      <c r="C372" s="4">
        <v>45848</v>
      </c>
      <c r="D372" t="s">
        <v>241</v>
      </c>
      <c r="E372" t="s">
        <v>354</v>
      </c>
      <c r="F372" t="s">
        <v>355</v>
      </c>
    </row>
    <row r="373" spans="1:6">
      <c r="A373" t="s">
        <v>356</v>
      </c>
      <c r="B373" t="str">
        <f>"10677462254014639364"</f>
        <v>10677462254014639364</v>
      </c>
      <c r="C373" s="4">
        <v>45877</v>
      </c>
      <c r="D373" t="s">
        <v>241</v>
      </c>
      <c r="E373" t="s">
        <v>357</v>
      </c>
      <c r="F373" t="s">
        <v>67</v>
      </c>
    </row>
    <row r="374" spans="1:6">
      <c r="A374" t="s">
        <v>358</v>
      </c>
      <c r="B374" t="str">
        <f>"10677462254005728740"</f>
        <v>10677462254005728740</v>
      </c>
      <c r="C374" s="4">
        <v>45866</v>
      </c>
      <c r="D374" t="s">
        <v>241</v>
      </c>
      <c r="E374" t="s">
        <v>359</v>
      </c>
      <c r="F374" t="s">
        <v>360</v>
      </c>
    </row>
    <row r="375" spans="1:6">
      <c r="A375" t="s">
        <v>361</v>
      </c>
      <c r="B375" t="str">
        <f>"10673342253433421050"</f>
        <v>10673342253433421050</v>
      </c>
      <c r="C375" s="4">
        <v>45842</v>
      </c>
      <c r="D375" t="s">
        <v>241</v>
      </c>
      <c r="E375" t="s">
        <v>362</v>
      </c>
      <c r="F375" t="s">
        <v>333</v>
      </c>
    </row>
    <row r="376" spans="1:6">
      <c r="A376" t="s">
        <v>363</v>
      </c>
      <c r="B376" t="str">
        <f>"10677462254036064321"</f>
        <v>10677462254036064321</v>
      </c>
      <c r="C376" s="4">
        <v>45919</v>
      </c>
      <c r="D376" t="s">
        <v>241</v>
      </c>
      <c r="E376" t="s">
        <v>364</v>
      </c>
      <c r="F376" t="s">
        <v>365</v>
      </c>
    </row>
    <row r="377" spans="1:6">
      <c r="A377" t="s">
        <v>366</v>
      </c>
      <c r="B377" t="str">
        <f>"10677462254025291259"</f>
        <v>10677462254025291259</v>
      </c>
      <c r="C377" s="4">
        <v>45898</v>
      </c>
      <c r="D377" t="s">
        <v>241</v>
      </c>
      <c r="E377" t="s">
        <v>367</v>
      </c>
      <c r="F377" t="s">
        <v>368</v>
      </c>
    </row>
    <row r="378" spans="1:6">
      <c r="A378" t="s">
        <v>369</v>
      </c>
      <c r="B378" t="str">
        <f>"10673342253423131645"</f>
        <v>10673342253423131645</v>
      </c>
      <c r="C378" s="4">
        <v>45827</v>
      </c>
      <c r="D378" t="s">
        <v>241</v>
      </c>
      <c r="E378" t="s">
        <v>370</v>
      </c>
      <c r="F378" t="s">
        <v>342</v>
      </c>
    </row>
    <row r="379" spans="1:6">
      <c r="A379" t="s">
        <v>371</v>
      </c>
      <c r="B379" t="str">
        <f>"10673342253431347368"</f>
        <v>10673342253431347368</v>
      </c>
      <c r="C379" s="4">
        <v>45840</v>
      </c>
      <c r="D379" t="s">
        <v>241</v>
      </c>
      <c r="E379" t="s">
        <v>372</v>
      </c>
      <c r="F379" t="s">
        <v>373</v>
      </c>
    </row>
    <row r="380" spans="1:6">
      <c r="A380" t="s">
        <v>374</v>
      </c>
      <c r="B380" t="str">
        <f>"10677462254003124600"</f>
        <v>10677462254003124600</v>
      </c>
      <c r="C380" s="4">
        <v>45860</v>
      </c>
      <c r="D380" t="s">
        <v>241</v>
      </c>
      <c r="E380" t="s">
        <v>375</v>
      </c>
      <c r="F380" t="s">
        <v>376</v>
      </c>
    </row>
    <row r="381" spans="1:6">
      <c r="A381" t="s">
        <v>377</v>
      </c>
      <c r="B381" t="str">
        <f>"10677462254037591074"</f>
        <v>10677462254037591074</v>
      </c>
      <c r="C381" s="4">
        <v>45925</v>
      </c>
      <c r="D381" t="s">
        <v>241</v>
      </c>
      <c r="E381" t="s">
        <v>378</v>
      </c>
      <c r="F381" t="s">
        <v>379</v>
      </c>
    </row>
    <row r="382" spans="1:6">
      <c r="A382" t="s">
        <v>380</v>
      </c>
      <c r="B382" t="str">
        <f>"10677462254044562424"</f>
        <v>10677462254044562424</v>
      </c>
      <c r="C382" s="4">
        <v>45938</v>
      </c>
      <c r="D382" t="s">
        <v>241</v>
      </c>
      <c r="E382" t="s">
        <v>381</v>
      </c>
      <c r="F382" t="s">
        <v>31</v>
      </c>
    </row>
    <row r="383" spans="1:6">
      <c r="A383" t="s">
        <v>382</v>
      </c>
      <c r="B383" t="str">
        <f>"10673342253440873484"</f>
        <v>10673342253440873484</v>
      </c>
      <c r="C383" s="4">
        <v>45848</v>
      </c>
      <c r="D383" t="s">
        <v>241</v>
      </c>
      <c r="E383" t="s">
        <v>383</v>
      </c>
      <c r="F383" t="s">
        <v>355</v>
      </c>
    </row>
    <row r="384" spans="1:6">
      <c r="A384" t="s">
        <v>384</v>
      </c>
      <c r="B384" t="str">
        <f>"10677462254013222338"</f>
        <v>10677462254013222338</v>
      </c>
      <c r="C384" s="4">
        <v>45877</v>
      </c>
      <c r="D384" t="s">
        <v>241</v>
      </c>
      <c r="E384" t="s">
        <v>385</v>
      </c>
      <c r="F384" t="s">
        <v>386</v>
      </c>
    </row>
    <row r="385" spans="1:6">
      <c r="A385" t="s">
        <v>387</v>
      </c>
      <c r="B385" t="str">
        <f>"10677462254005910077"</f>
        <v>10677462254005910077</v>
      </c>
      <c r="C385" s="4">
        <v>45866</v>
      </c>
      <c r="D385" t="s">
        <v>241</v>
      </c>
      <c r="E385" t="s">
        <v>388</v>
      </c>
      <c r="F385" t="s">
        <v>389</v>
      </c>
    </row>
    <row r="386" spans="1:6">
      <c r="A386" t="s">
        <v>390</v>
      </c>
      <c r="B386" t="str">
        <f>"10673342253435520633"</f>
        <v>10673342253435520633</v>
      </c>
      <c r="C386" s="4">
        <v>45842</v>
      </c>
      <c r="D386" t="s">
        <v>99</v>
      </c>
      <c r="E386" t="s">
        <v>12</v>
      </c>
      <c r="F386" t="s">
        <v>12</v>
      </c>
    </row>
    <row r="387" spans="1:6">
      <c r="A387" t="s">
        <v>391</v>
      </c>
      <c r="B387" t="str">
        <f>"10677462254036802258"</f>
        <v>10677462254036802258</v>
      </c>
      <c r="C387" s="4">
        <v>45919</v>
      </c>
      <c r="D387" t="s">
        <v>241</v>
      </c>
      <c r="E387" t="s">
        <v>392</v>
      </c>
      <c r="F387" t="s">
        <v>336</v>
      </c>
    </row>
    <row r="388" spans="1:6">
      <c r="A388" t="s">
        <v>393</v>
      </c>
      <c r="B388" t="str">
        <f>"10677462254026234022"</f>
        <v>10677462254026234022</v>
      </c>
      <c r="C388" s="4">
        <v>45898</v>
      </c>
      <c r="D388" t="s">
        <v>241</v>
      </c>
      <c r="E388" t="s">
        <v>394</v>
      </c>
      <c r="F388" t="s">
        <v>339</v>
      </c>
    </row>
    <row r="389" spans="1:6">
      <c r="A389" t="s">
        <v>395</v>
      </c>
      <c r="B389" t="str">
        <f>"10673342253422967979"</f>
        <v>10673342253422967979</v>
      </c>
      <c r="C389" s="4">
        <v>45827</v>
      </c>
      <c r="D389" t="s">
        <v>241</v>
      </c>
      <c r="E389" t="s">
        <v>396</v>
      </c>
      <c r="F389" t="s">
        <v>342</v>
      </c>
    </row>
    <row r="390" spans="1:6">
      <c r="A390" t="s">
        <v>397</v>
      </c>
      <c r="B390" t="str">
        <f>"10673342253431632771"</f>
        <v>10673342253431632771</v>
      </c>
      <c r="C390" s="4">
        <v>45840</v>
      </c>
      <c r="D390" t="s">
        <v>241</v>
      </c>
      <c r="E390" t="s">
        <v>398</v>
      </c>
      <c r="F390" t="s">
        <v>345</v>
      </c>
    </row>
    <row r="391" spans="1:6">
      <c r="A391" t="s">
        <v>399</v>
      </c>
      <c r="B391" t="str">
        <f>"10677462254002437877"</f>
        <v>10677462254002437877</v>
      </c>
      <c r="C391" s="4">
        <v>45860</v>
      </c>
      <c r="D391" t="s">
        <v>241</v>
      </c>
      <c r="E391" t="s">
        <v>400</v>
      </c>
      <c r="F391" t="s">
        <v>348</v>
      </c>
    </row>
    <row r="392" spans="1:6">
      <c r="A392" t="s">
        <v>401</v>
      </c>
      <c r="B392" t="str">
        <f>"10673342253440146043"</f>
        <v>10673342253440146043</v>
      </c>
      <c r="C392" s="4">
        <v>45848</v>
      </c>
      <c r="D392" t="s">
        <v>241</v>
      </c>
      <c r="E392" t="s">
        <v>402</v>
      </c>
      <c r="F392" t="s">
        <v>355</v>
      </c>
    </row>
    <row r="393" spans="1:6">
      <c r="A393" t="s">
        <v>403</v>
      </c>
      <c r="B393" t="str">
        <f>"10677462254014625169"</f>
        <v>10677462254014625169</v>
      </c>
      <c r="C393" s="4">
        <v>45877</v>
      </c>
      <c r="D393" t="s">
        <v>241</v>
      </c>
      <c r="E393" t="s">
        <v>404</v>
      </c>
      <c r="F393" t="s">
        <v>67</v>
      </c>
    </row>
    <row r="394" spans="1:6">
      <c r="A394" t="s">
        <v>405</v>
      </c>
      <c r="B394" t="str">
        <f>"10677462254004665508"</f>
        <v>10677462254004665508</v>
      </c>
      <c r="C394" s="4">
        <v>45866</v>
      </c>
      <c r="D394" t="s">
        <v>241</v>
      </c>
      <c r="E394" t="s">
        <v>406</v>
      </c>
      <c r="F394" t="s">
        <v>360</v>
      </c>
    </row>
    <row r="395" spans="1:6">
      <c r="A395" t="s">
        <v>407</v>
      </c>
      <c r="B395" t="str">
        <f>"10673342253434075113"</f>
        <v>10673342253434075113</v>
      </c>
      <c r="C395" s="4">
        <v>45842</v>
      </c>
      <c r="D395" t="s">
        <v>241</v>
      </c>
      <c r="E395" t="s">
        <v>408</v>
      </c>
      <c r="F395" t="s">
        <v>333</v>
      </c>
    </row>
    <row r="396" spans="1:6">
      <c r="A396" t="s">
        <v>409</v>
      </c>
      <c r="B396" t="str">
        <f>"10677462254036391926"</f>
        <v>10677462254036391926</v>
      </c>
      <c r="C396" s="4">
        <v>45919</v>
      </c>
      <c r="D396" t="s">
        <v>241</v>
      </c>
      <c r="E396" t="s">
        <v>410</v>
      </c>
      <c r="F396" t="s">
        <v>365</v>
      </c>
    </row>
    <row r="397" spans="1:6">
      <c r="A397" t="s">
        <v>411</v>
      </c>
      <c r="B397" t="str">
        <f>"10677462254025994608"</f>
        <v>10677462254025994608</v>
      </c>
      <c r="C397" s="4">
        <v>45898</v>
      </c>
      <c r="D397" t="s">
        <v>241</v>
      </c>
      <c r="E397" t="s">
        <v>412</v>
      </c>
      <c r="F397" t="s">
        <v>339</v>
      </c>
    </row>
    <row r="398" spans="1:6">
      <c r="A398" t="s">
        <v>413</v>
      </c>
      <c r="B398" t="str">
        <f>"10673342253430737391"</f>
        <v>10673342253430737391</v>
      </c>
      <c r="C398" s="4">
        <v>45840</v>
      </c>
      <c r="D398" t="s">
        <v>241</v>
      </c>
      <c r="E398" t="s">
        <v>414</v>
      </c>
      <c r="F398" t="s">
        <v>373</v>
      </c>
    </row>
    <row r="399" spans="1:6">
      <c r="A399" t="s">
        <v>415</v>
      </c>
      <c r="B399" t="str">
        <f>"10677462254004156115"</f>
        <v>10677462254004156115</v>
      </c>
      <c r="C399" s="4">
        <v>45860</v>
      </c>
      <c r="D399" t="s">
        <v>241</v>
      </c>
      <c r="E399" t="s">
        <v>416</v>
      </c>
      <c r="F399" t="s">
        <v>376</v>
      </c>
    </row>
    <row r="400" spans="1:6">
      <c r="A400" t="s">
        <v>417</v>
      </c>
      <c r="B400" t="str">
        <f>"10673342253439165269"</f>
        <v>10673342253439165269</v>
      </c>
      <c r="C400" s="4">
        <v>45848</v>
      </c>
      <c r="D400" t="s">
        <v>241</v>
      </c>
      <c r="E400" t="s">
        <v>418</v>
      </c>
      <c r="F400" t="s">
        <v>419</v>
      </c>
    </row>
    <row r="401" spans="1:6">
      <c r="A401" t="s">
        <v>420</v>
      </c>
      <c r="B401" t="str">
        <f>"10677462254013266203"</f>
        <v>10677462254013266203</v>
      </c>
      <c r="C401" s="4">
        <v>45877</v>
      </c>
      <c r="D401" t="s">
        <v>241</v>
      </c>
      <c r="E401" t="s">
        <v>421</v>
      </c>
      <c r="F401" t="s">
        <v>386</v>
      </c>
    </row>
    <row r="402" spans="1:6">
      <c r="A402" t="s">
        <v>422</v>
      </c>
      <c r="B402" t="str">
        <f>"10677462254006064676"</f>
        <v>10677462254006064676</v>
      </c>
      <c r="C402" s="4">
        <v>45866</v>
      </c>
      <c r="D402" t="s">
        <v>241</v>
      </c>
      <c r="E402" t="s">
        <v>423</v>
      </c>
      <c r="F402" t="s">
        <v>389</v>
      </c>
    </row>
    <row r="403" spans="1:6">
      <c r="A403" t="s">
        <v>424</v>
      </c>
      <c r="B403" t="str">
        <f>"10673342253433502596"</f>
        <v>10673342253433502596</v>
      </c>
      <c r="C403" s="4">
        <v>45842</v>
      </c>
      <c r="D403" t="s">
        <v>241</v>
      </c>
      <c r="E403" t="s">
        <v>425</v>
      </c>
      <c r="F403" t="s">
        <v>333</v>
      </c>
    </row>
    <row r="404" spans="1:6">
      <c r="A404" t="s">
        <v>426</v>
      </c>
      <c r="B404" t="str">
        <f>"10677462254037046017"</f>
        <v>10677462254037046017</v>
      </c>
      <c r="C404" s="4">
        <v>45919</v>
      </c>
      <c r="D404" t="s">
        <v>241</v>
      </c>
      <c r="E404" t="s">
        <v>427</v>
      </c>
      <c r="F404" t="s">
        <v>428</v>
      </c>
    </row>
    <row r="405" spans="1:6">
      <c r="A405" t="s">
        <v>429</v>
      </c>
      <c r="B405" t="str">
        <f>"10677462254025830486"</f>
        <v>10677462254025830486</v>
      </c>
      <c r="C405" s="4">
        <v>45898</v>
      </c>
      <c r="D405" t="s">
        <v>241</v>
      </c>
      <c r="E405" t="s">
        <v>430</v>
      </c>
      <c r="F405" t="s">
        <v>339</v>
      </c>
    </row>
    <row r="406" spans="1:6">
      <c r="A406" t="s">
        <v>431</v>
      </c>
      <c r="B406" t="str">
        <f>"10673342253430972343"</f>
        <v>10673342253430972343</v>
      </c>
      <c r="C406" s="4">
        <v>45840</v>
      </c>
      <c r="D406" t="s">
        <v>241</v>
      </c>
      <c r="E406" t="s">
        <v>432</v>
      </c>
      <c r="F406" t="s">
        <v>373</v>
      </c>
    </row>
    <row r="407" spans="1:6">
      <c r="A407" t="s">
        <v>433</v>
      </c>
      <c r="B407" t="str">
        <f>"10677462254003942699"</f>
        <v>10677462254003942699</v>
      </c>
      <c r="C407" s="4">
        <v>45860</v>
      </c>
      <c r="D407" t="s">
        <v>241</v>
      </c>
      <c r="E407" t="s">
        <v>434</v>
      </c>
      <c r="F407" t="s">
        <v>376</v>
      </c>
    </row>
    <row r="408" spans="1:6">
      <c r="A408" t="s">
        <v>435</v>
      </c>
      <c r="B408" t="str">
        <f>"10673342253439388225"</f>
        <v>10673342253439388225</v>
      </c>
      <c r="C408" s="4">
        <v>45848</v>
      </c>
      <c r="D408" t="s">
        <v>241</v>
      </c>
      <c r="E408" t="s">
        <v>436</v>
      </c>
      <c r="F408" t="s">
        <v>419</v>
      </c>
    </row>
    <row r="409" spans="1:6">
      <c r="A409" t="s">
        <v>437</v>
      </c>
      <c r="B409" t="str">
        <f>"10677462254013356393"</f>
        <v>10677462254013356393</v>
      </c>
      <c r="C409" s="4">
        <v>45877</v>
      </c>
      <c r="D409" t="s">
        <v>241</v>
      </c>
      <c r="E409" t="s">
        <v>438</v>
      </c>
      <c r="F409" t="s">
        <v>386</v>
      </c>
    </row>
    <row r="410" spans="1:6">
      <c r="A410" t="s">
        <v>439</v>
      </c>
      <c r="B410" t="str">
        <f>"10677462254005857117"</f>
        <v>10677462254005857117</v>
      </c>
      <c r="C410" s="4">
        <v>45866</v>
      </c>
      <c r="D410" t="s">
        <v>241</v>
      </c>
      <c r="E410" t="s">
        <v>440</v>
      </c>
      <c r="F410" t="s">
        <v>389</v>
      </c>
    </row>
    <row r="411" spans="1:6">
      <c r="A411" t="s">
        <v>441</v>
      </c>
      <c r="B411" t="str">
        <f>"10673342253437668905"</f>
        <v>10673342253437668905</v>
      </c>
      <c r="C411" s="4">
        <v>45842</v>
      </c>
      <c r="D411" t="s">
        <v>241</v>
      </c>
      <c r="E411" t="s">
        <v>442</v>
      </c>
      <c r="F411" t="s">
        <v>443</v>
      </c>
    </row>
    <row r="412" spans="1:6">
      <c r="A412" t="s">
        <v>444</v>
      </c>
      <c r="B412" t="str">
        <f>"10677462254035311325"</f>
        <v>10677462254035311325</v>
      </c>
      <c r="C412" s="4">
        <v>45919</v>
      </c>
      <c r="D412" t="s">
        <v>241</v>
      </c>
      <c r="E412" t="s">
        <v>445</v>
      </c>
      <c r="F412" t="s">
        <v>365</v>
      </c>
    </row>
    <row r="413" spans="1:6">
      <c r="A413" t="s">
        <v>446</v>
      </c>
      <c r="B413" t="str">
        <f>"10673342253430452508"</f>
        <v>10673342253430452508</v>
      </c>
      <c r="C413" s="4">
        <v>45840</v>
      </c>
      <c r="D413" t="s">
        <v>241</v>
      </c>
      <c r="E413" t="s">
        <v>447</v>
      </c>
      <c r="F413" t="s">
        <v>373</v>
      </c>
    </row>
    <row r="414" spans="1:6">
      <c r="A414" t="s">
        <v>448</v>
      </c>
      <c r="B414" t="str">
        <f>"10677462254003793774"</f>
        <v>10677462254003793774</v>
      </c>
      <c r="C414" s="4">
        <v>45860</v>
      </c>
      <c r="D414" t="s">
        <v>241</v>
      </c>
      <c r="E414" t="s">
        <v>449</v>
      </c>
      <c r="F414" t="s">
        <v>376</v>
      </c>
    </row>
    <row r="415" spans="1:6">
      <c r="A415" t="s">
        <v>450</v>
      </c>
      <c r="B415" t="str">
        <f>"10673342253439103212"</f>
        <v>10673342253439103212</v>
      </c>
      <c r="C415" s="4">
        <v>45848</v>
      </c>
      <c r="D415" t="s">
        <v>241</v>
      </c>
      <c r="E415" t="s">
        <v>451</v>
      </c>
      <c r="F415" t="s">
        <v>443</v>
      </c>
    </row>
    <row r="416" spans="1:6">
      <c r="A416" t="s">
        <v>452</v>
      </c>
      <c r="B416" t="str">
        <f>"10677462254013587018"</f>
        <v>10677462254013587018</v>
      </c>
      <c r="C416" s="4">
        <v>45877</v>
      </c>
      <c r="D416" t="s">
        <v>241</v>
      </c>
      <c r="E416" t="s">
        <v>453</v>
      </c>
      <c r="F416" t="s">
        <v>454</v>
      </c>
    </row>
    <row r="417" spans="1:6">
      <c r="A417" t="s">
        <v>455</v>
      </c>
      <c r="B417" t="str">
        <f>"10677462254005799362"</f>
        <v>10677462254005799362</v>
      </c>
      <c r="C417" s="4">
        <v>45866</v>
      </c>
      <c r="D417" t="s">
        <v>241</v>
      </c>
      <c r="E417" t="s">
        <v>456</v>
      </c>
      <c r="F417" t="s">
        <v>360</v>
      </c>
    </row>
    <row r="418" spans="1:6">
      <c r="A418" t="s">
        <v>457</v>
      </c>
      <c r="B418" t="str">
        <f>"10673342253437745772"</f>
        <v>10673342253437745772</v>
      </c>
      <c r="C418" s="4">
        <v>45842</v>
      </c>
      <c r="D418" t="s">
        <v>99</v>
      </c>
      <c r="E418" t="s">
        <v>12</v>
      </c>
      <c r="F418" t="s">
        <v>12</v>
      </c>
    </row>
    <row r="419" spans="1:6">
      <c r="A419" t="s">
        <v>458</v>
      </c>
      <c r="B419" t="str">
        <f>"10677462254037327334"</f>
        <v>10677462254037327334</v>
      </c>
      <c r="C419" s="4">
        <v>45919</v>
      </c>
      <c r="D419" t="s">
        <v>241</v>
      </c>
      <c r="E419" t="s">
        <v>459</v>
      </c>
      <c r="F419" t="s">
        <v>379</v>
      </c>
    </row>
    <row r="420" spans="1:6">
      <c r="A420" t="s">
        <v>460</v>
      </c>
      <c r="B420" t="str">
        <f>"10673342253429741070"</f>
        <v>10673342253429741070</v>
      </c>
      <c r="C420" s="4">
        <v>45840</v>
      </c>
      <c r="D420" t="s">
        <v>241</v>
      </c>
      <c r="E420" t="s">
        <v>461</v>
      </c>
      <c r="F420" t="s">
        <v>462</v>
      </c>
    </row>
    <row r="421" spans="1:6">
      <c r="A421" t="s">
        <v>463</v>
      </c>
      <c r="B421" t="str">
        <f>"10673342253439587821"</f>
        <v>10673342253439587821</v>
      </c>
      <c r="C421" s="4">
        <v>45848</v>
      </c>
      <c r="D421" t="s">
        <v>241</v>
      </c>
      <c r="E421" t="s">
        <v>464</v>
      </c>
      <c r="F421" t="s">
        <v>419</v>
      </c>
    </row>
    <row r="422" spans="1:6">
      <c r="A422" t="s">
        <v>465</v>
      </c>
      <c r="B422" t="str">
        <f>"10677462254013530369"</f>
        <v>10677462254013530369</v>
      </c>
      <c r="C422" s="4">
        <v>45877</v>
      </c>
      <c r="D422" t="s">
        <v>241</v>
      </c>
      <c r="E422" t="s">
        <v>466</v>
      </c>
      <c r="F422" t="s">
        <v>454</v>
      </c>
    </row>
    <row r="423" spans="1:6">
      <c r="A423" t="s">
        <v>467</v>
      </c>
      <c r="B423" t="str">
        <f>"10677462254005367217"</f>
        <v>10677462254005367217</v>
      </c>
      <c r="C423" s="4">
        <v>45866</v>
      </c>
      <c r="D423" t="s">
        <v>241</v>
      </c>
      <c r="E423" t="s">
        <v>468</v>
      </c>
      <c r="F423" t="s">
        <v>360</v>
      </c>
    </row>
    <row r="424" spans="1:6">
      <c r="A424" t="s">
        <v>469</v>
      </c>
      <c r="B424" t="str">
        <f>"10673342253437544238"</f>
        <v>10673342253437544238</v>
      </c>
      <c r="C424" s="4">
        <v>45842</v>
      </c>
      <c r="D424" t="s">
        <v>241</v>
      </c>
      <c r="E424" t="s">
        <v>470</v>
      </c>
      <c r="F424" t="s">
        <v>471</v>
      </c>
    </row>
    <row r="425" spans="1:6">
      <c r="A425" t="s">
        <v>472</v>
      </c>
      <c r="B425" t="str">
        <f>"10677462254037015553"</f>
        <v>10677462254037015553</v>
      </c>
      <c r="C425" s="4">
        <v>45919</v>
      </c>
      <c r="D425" t="s">
        <v>241</v>
      </c>
      <c r="E425" t="s">
        <v>473</v>
      </c>
      <c r="F425" t="s">
        <v>336</v>
      </c>
    </row>
    <row r="426" spans="1:6">
      <c r="A426" t="s">
        <v>474</v>
      </c>
      <c r="B426" t="str">
        <f>"10673342253429917705"</f>
        <v>10673342253429917705</v>
      </c>
      <c r="C426" s="4">
        <v>45840</v>
      </c>
      <c r="D426" t="s">
        <v>241</v>
      </c>
      <c r="E426" t="s">
        <v>475</v>
      </c>
      <c r="F426" t="s">
        <v>462</v>
      </c>
    </row>
    <row r="427" spans="1:6">
      <c r="A427" t="s">
        <v>476</v>
      </c>
      <c r="B427" t="str">
        <f>"10673342253439937156"</f>
        <v>10673342253439937156</v>
      </c>
      <c r="C427" s="4">
        <v>45848</v>
      </c>
      <c r="D427" t="s">
        <v>241</v>
      </c>
      <c r="E427" t="s">
        <v>477</v>
      </c>
      <c r="F427" t="s">
        <v>355</v>
      </c>
    </row>
    <row r="428" spans="1:6">
      <c r="A428" t="s">
        <v>478</v>
      </c>
      <c r="B428" t="str">
        <f>"10677462254014022316"</f>
        <v>10677462254014022316</v>
      </c>
      <c r="C428" s="4">
        <v>45877</v>
      </c>
      <c r="D428" t="s">
        <v>241</v>
      </c>
      <c r="E428" t="s">
        <v>479</v>
      </c>
      <c r="F428" t="s">
        <v>454</v>
      </c>
    </row>
    <row r="429" spans="1:6">
      <c r="A429" t="s">
        <v>480</v>
      </c>
      <c r="B429" t="str">
        <f>"10673342253437188946"</f>
        <v>10673342253437188946</v>
      </c>
      <c r="C429" s="4">
        <v>45842</v>
      </c>
      <c r="D429" t="s">
        <v>241</v>
      </c>
      <c r="E429" t="s">
        <v>481</v>
      </c>
      <c r="F429" t="s">
        <v>471</v>
      </c>
    </row>
    <row r="430" spans="1:6">
      <c r="A430" t="s">
        <v>482</v>
      </c>
      <c r="B430" t="str">
        <f>"10673342253429671153"</f>
        <v>10673342253429671153</v>
      </c>
      <c r="C430" s="4">
        <v>45840</v>
      </c>
      <c r="D430" t="s">
        <v>241</v>
      </c>
      <c r="E430" t="s">
        <v>483</v>
      </c>
      <c r="F430" t="s">
        <v>462</v>
      </c>
    </row>
    <row r="431" spans="1:6">
      <c r="A431" t="s">
        <v>484</v>
      </c>
      <c r="B431" t="str">
        <f>"10673342253439546068"</f>
        <v>10673342253439546068</v>
      </c>
      <c r="C431" s="4">
        <v>45848</v>
      </c>
      <c r="D431" t="s">
        <v>241</v>
      </c>
      <c r="E431" t="s">
        <v>485</v>
      </c>
      <c r="F431" t="s">
        <v>419</v>
      </c>
    </row>
    <row r="432" spans="1:6">
      <c r="A432" t="s">
        <v>486</v>
      </c>
      <c r="B432" t="str">
        <f>"10677462254014503160"</f>
        <v>10677462254014503160</v>
      </c>
      <c r="C432" s="4">
        <v>45877</v>
      </c>
      <c r="D432" t="s">
        <v>241</v>
      </c>
      <c r="E432" t="s">
        <v>487</v>
      </c>
      <c r="F432" t="s">
        <v>454</v>
      </c>
    </row>
    <row r="433" spans="1:6">
      <c r="A433" t="s">
        <v>488</v>
      </c>
      <c r="B433" t="str">
        <f>"10673342253436883608"</f>
        <v>10673342253436883608</v>
      </c>
      <c r="C433" s="4">
        <v>45842</v>
      </c>
      <c r="D433" t="s">
        <v>241</v>
      </c>
      <c r="E433" t="s">
        <v>489</v>
      </c>
      <c r="F433" t="s">
        <v>471</v>
      </c>
    </row>
    <row r="434" spans="1:6">
      <c r="A434" t="s">
        <v>490</v>
      </c>
      <c r="B434" t="str">
        <f>"10673342253432100676"</f>
        <v>10673342253432100676</v>
      </c>
      <c r="C434" s="4">
        <v>45840</v>
      </c>
      <c r="D434" t="s">
        <v>241</v>
      </c>
      <c r="E434" t="s">
        <v>491</v>
      </c>
      <c r="F434" t="s">
        <v>345</v>
      </c>
    </row>
    <row r="435" spans="1:6">
      <c r="A435" t="s">
        <v>492</v>
      </c>
      <c r="B435" t="str">
        <f>"10673342253438145418"</f>
        <v>10673342253438145418</v>
      </c>
      <c r="C435" s="4">
        <v>45848</v>
      </c>
      <c r="D435" t="s">
        <v>241</v>
      </c>
      <c r="E435" t="s">
        <v>493</v>
      </c>
      <c r="F435" t="s">
        <v>443</v>
      </c>
    </row>
    <row r="436" spans="1:6">
      <c r="A436" t="s">
        <v>494</v>
      </c>
      <c r="B436" t="str">
        <f>"10677462254013011906"</f>
        <v>10677462254013011906</v>
      </c>
      <c r="C436" s="4">
        <v>45877</v>
      </c>
      <c r="D436" t="s">
        <v>241</v>
      </c>
      <c r="E436" t="s">
        <v>495</v>
      </c>
      <c r="F436" t="s">
        <v>386</v>
      </c>
    </row>
    <row r="437" spans="1:6">
      <c r="A437" t="s">
        <v>496</v>
      </c>
      <c r="B437" t="str">
        <f>"10673342253437124921"</f>
        <v>10673342253437124921</v>
      </c>
      <c r="C437" s="4">
        <v>45842</v>
      </c>
      <c r="D437" t="s">
        <v>241</v>
      </c>
      <c r="E437" t="s">
        <v>497</v>
      </c>
      <c r="F437" t="s">
        <v>471</v>
      </c>
    </row>
    <row r="438" spans="1:6">
      <c r="A438" t="s">
        <v>498</v>
      </c>
      <c r="B438" t="str">
        <f>"10673342253432554456"</f>
        <v>10673342253432554456</v>
      </c>
      <c r="C438" s="4">
        <v>45840</v>
      </c>
      <c r="D438" t="s">
        <v>241</v>
      </c>
      <c r="E438" t="s">
        <v>499</v>
      </c>
      <c r="F438" t="s">
        <v>345</v>
      </c>
    </row>
    <row r="439" spans="1:6">
      <c r="A439" t="s">
        <v>500</v>
      </c>
      <c r="B439" t="str">
        <f>"10677462254014954125"</f>
        <v>10677462254014954125</v>
      </c>
      <c r="C439" s="4">
        <v>45877</v>
      </c>
      <c r="D439" t="s">
        <v>241</v>
      </c>
      <c r="E439" t="s">
        <v>501</v>
      </c>
      <c r="F439" t="s">
        <v>67</v>
      </c>
    </row>
    <row r="440" spans="1:6">
      <c r="A440" t="s">
        <v>502</v>
      </c>
      <c r="B440" t="str">
        <f>"10673342253436137701"</f>
        <v>10673342253436137701</v>
      </c>
      <c r="C440" s="4">
        <v>45842</v>
      </c>
      <c r="D440" t="s">
        <v>99</v>
      </c>
      <c r="E440" t="s">
        <v>12</v>
      </c>
      <c r="F440" t="s">
        <v>12</v>
      </c>
    </row>
    <row r="441" spans="1:6">
      <c r="A441" t="s">
        <v>503</v>
      </c>
      <c r="B441" t="str">
        <f>"10673342253429251189"</f>
        <v>10673342253429251189</v>
      </c>
      <c r="C441" s="4">
        <v>45840</v>
      </c>
      <c r="D441" t="s">
        <v>241</v>
      </c>
      <c r="E441" t="s">
        <v>504</v>
      </c>
      <c r="F441" t="s">
        <v>505</v>
      </c>
    </row>
    <row r="442" spans="1:6">
      <c r="A442" t="s">
        <v>506</v>
      </c>
      <c r="B442" t="str">
        <f>"10673342253436503832"</f>
        <v>10673342253436503832</v>
      </c>
      <c r="C442" s="4">
        <v>45842</v>
      </c>
      <c r="D442" t="s">
        <v>99</v>
      </c>
      <c r="E442" t="s">
        <v>12</v>
      </c>
      <c r="F442" t="s">
        <v>12</v>
      </c>
    </row>
    <row r="443" spans="1:6">
      <c r="A443" t="s">
        <v>507</v>
      </c>
      <c r="B443" t="str">
        <f>"10673342253429380825"</f>
        <v>10673342253429380825</v>
      </c>
      <c r="C443" s="4">
        <v>45840</v>
      </c>
      <c r="D443" t="s">
        <v>241</v>
      </c>
      <c r="E443" t="s">
        <v>508</v>
      </c>
      <c r="F443" t="s">
        <v>505</v>
      </c>
    </row>
    <row r="444" spans="1:6">
      <c r="A444" t="s">
        <v>509</v>
      </c>
      <c r="B444" t="str">
        <f>"10673342253435810909"</f>
        <v>10673342253435810909</v>
      </c>
      <c r="C444" s="4">
        <v>45842</v>
      </c>
      <c r="D444" t="s">
        <v>99</v>
      </c>
      <c r="E444" t="s">
        <v>12</v>
      </c>
      <c r="F444" t="s">
        <v>12</v>
      </c>
    </row>
    <row r="445" spans="1:6">
      <c r="A445" t="s">
        <v>510</v>
      </c>
      <c r="B445" t="str">
        <f>"10673342253429176772"</f>
        <v>10673342253429176772</v>
      </c>
      <c r="C445" s="4">
        <v>45840</v>
      </c>
      <c r="D445" t="s">
        <v>241</v>
      </c>
      <c r="E445" t="s">
        <v>511</v>
      </c>
      <c r="F445" t="s">
        <v>505</v>
      </c>
    </row>
    <row r="446" spans="1:6">
      <c r="A446" t="s">
        <v>512</v>
      </c>
      <c r="B446" t="str">
        <f>"10673342253438737749"</f>
        <v>10673342253438737749</v>
      </c>
      <c r="C446" s="4">
        <v>45842</v>
      </c>
      <c r="D446" t="s">
        <v>99</v>
      </c>
      <c r="E446" t="s">
        <v>12</v>
      </c>
      <c r="F446" t="s">
        <v>12</v>
      </c>
    </row>
    <row r="447" spans="1:6">
      <c r="A447" t="s">
        <v>513</v>
      </c>
      <c r="B447" t="str">
        <f>"10673342253429156844"</f>
        <v>10673342253429156844</v>
      </c>
      <c r="C447" s="4">
        <v>45840</v>
      </c>
      <c r="D447" t="s">
        <v>241</v>
      </c>
      <c r="E447" t="s">
        <v>514</v>
      </c>
      <c r="F447" t="s">
        <v>515</v>
      </c>
    </row>
    <row r="448" spans="1:6">
      <c r="A448" t="s">
        <v>516</v>
      </c>
      <c r="B448" t="str">
        <f>"10673342253438900968"</f>
        <v>10673342253438900968</v>
      </c>
      <c r="C448" s="4">
        <v>45842</v>
      </c>
      <c r="D448" t="s">
        <v>99</v>
      </c>
      <c r="E448" t="s">
        <v>12</v>
      </c>
      <c r="F448" t="s">
        <v>12</v>
      </c>
    </row>
    <row r="449" spans="1:6">
      <c r="A449" t="s">
        <v>517</v>
      </c>
      <c r="B449" t="str">
        <f>"10673342253429187790"</f>
        <v>10673342253429187790</v>
      </c>
      <c r="C449" s="4">
        <v>45840</v>
      </c>
      <c r="D449" t="s">
        <v>241</v>
      </c>
      <c r="E449" t="s">
        <v>518</v>
      </c>
      <c r="F449" t="s">
        <v>505</v>
      </c>
    </row>
    <row r="450" spans="1:6">
      <c r="A450" t="s">
        <v>519</v>
      </c>
      <c r="B450" t="str">
        <f>"10673342253438488825"</f>
        <v>10673342253438488825</v>
      </c>
      <c r="C450" s="4">
        <v>45842</v>
      </c>
      <c r="D450" t="s">
        <v>241</v>
      </c>
      <c r="E450" t="s">
        <v>520</v>
      </c>
      <c r="F450" t="s">
        <v>443</v>
      </c>
    </row>
    <row r="451" spans="1:6">
      <c r="A451" t="s">
        <v>521</v>
      </c>
      <c r="B451" t="str">
        <f>"10673342253429750541"</f>
        <v>10673342253429750541</v>
      </c>
      <c r="C451" s="4">
        <v>45840</v>
      </c>
      <c r="D451" t="s">
        <v>241</v>
      </c>
      <c r="E451" t="s">
        <v>522</v>
      </c>
      <c r="F451" t="s">
        <v>462</v>
      </c>
    </row>
    <row r="452" spans="1:6">
      <c r="A452" t="s">
        <v>523</v>
      </c>
      <c r="B452" t="str">
        <f>"10677462254041685835"</f>
        <v>10677462254041685835</v>
      </c>
      <c r="C452" s="4">
        <v>45932</v>
      </c>
      <c r="D452" t="s">
        <v>241</v>
      </c>
      <c r="E452" t="s">
        <v>524</v>
      </c>
      <c r="F452" t="s">
        <v>31</v>
      </c>
    </row>
    <row r="453" spans="1:6">
      <c r="A453" t="s">
        <v>525</v>
      </c>
      <c r="B453" t="str">
        <f>"10673342253409383314"</f>
        <v>10673342253409383314</v>
      </c>
      <c r="C453" s="4">
        <v>45812</v>
      </c>
      <c r="D453" t="s">
        <v>99</v>
      </c>
      <c r="E453" t="s">
        <v>12</v>
      </c>
      <c r="F453" t="s">
        <v>12</v>
      </c>
    </row>
    <row r="454" spans="1:6">
      <c r="A454" t="s">
        <v>526</v>
      </c>
      <c r="B454" t="str">
        <f>"10673342253410307405"</f>
        <v>10673342253410307405</v>
      </c>
      <c r="C454" s="4">
        <v>45812</v>
      </c>
      <c r="D454" t="s">
        <v>241</v>
      </c>
      <c r="E454" t="s">
        <v>527</v>
      </c>
      <c r="F454" t="s">
        <v>528</v>
      </c>
    </row>
    <row r="455" spans="1:6">
      <c r="A455" t="s">
        <v>529</v>
      </c>
      <c r="B455" t="str">
        <f>"10673342253410267446"</f>
        <v>10673342253410267446</v>
      </c>
      <c r="C455" s="4">
        <v>45812</v>
      </c>
      <c r="D455" t="s">
        <v>99</v>
      </c>
      <c r="E455" t="s">
        <v>12</v>
      </c>
      <c r="F455" t="s">
        <v>12</v>
      </c>
    </row>
    <row r="456" spans="1:6">
      <c r="A456" t="s">
        <v>530</v>
      </c>
      <c r="B456" t="str">
        <f>"10673342253410395940"</f>
        <v>10673342253410395940</v>
      </c>
      <c r="C456" s="4">
        <v>45812</v>
      </c>
      <c r="D456" t="s">
        <v>241</v>
      </c>
      <c r="E456" t="s">
        <v>531</v>
      </c>
      <c r="F456" t="s">
        <v>528</v>
      </c>
    </row>
    <row r="457" spans="1:6">
      <c r="A457" t="s">
        <v>532</v>
      </c>
      <c r="B457" t="str">
        <f>"10673342253409534045"</f>
        <v>10673342253409534045</v>
      </c>
      <c r="C457" s="4">
        <v>45812</v>
      </c>
      <c r="D457" t="s">
        <v>99</v>
      </c>
      <c r="E457" t="s">
        <v>12</v>
      </c>
      <c r="F457" t="s">
        <v>12</v>
      </c>
    </row>
    <row r="458" spans="1:6">
      <c r="A458" t="s">
        <v>533</v>
      </c>
      <c r="B458" t="str">
        <f>"10673342253410708302"</f>
        <v>10673342253410708302</v>
      </c>
      <c r="C458" s="4">
        <v>45812</v>
      </c>
      <c r="D458" t="s">
        <v>241</v>
      </c>
      <c r="E458" t="s">
        <v>534</v>
      </c>
      <c r="F458" t="s">
        <v>528</v>
      </c>
    </row>
    <row r="459" spans="1:6">
      <c r="A459" t="s">
        <v>535</v>
      </c>
      <c r="B459" t="str">
        <f>"10673342253409952408"</f>
        <v>10673342253409952408</v>
      </c>
      <c r="C459" s="4">
        <v>45812</v>
      </c>
      <c r="D459" t="s">
        <v>99</v>
      </c>
      <c r="E459" t="s">
        <v>12</v>
      </c>
      <c r="F459" t="s">
        <v>12</v>
      </c>
    </row>
    <row r="460" spans="1:6">
      <c r="A460" t="s">
        <v>536</v>
      </c>
      <c r="B460" t="str">
        <f>"10673342253410721546"</f>
        <v>10673342253410721546</v>
      </c>
      <c r="C460" s="4">
        <v>45812</v>
      </c>
      <c r="D460" t="s">
        <v>241</v>
      </c>
      <c r="E460" t="s">
        <v>537</v>
      </c>
      <c r="F460" t="s">
        <v>528</v>
      </c>
    </row>
    <row r="461" spans="1:6">
      <c r="A461" t="s">
        <v>538</v>
      </c>
      <c r="B461" t="str">
        <f>"10673342253406632186"</f>
        <v>10673342253406632186</v>
      </c>
      <c r="C461" s="4">
        <v>45812</v>
      </c>
      <c r="D461" t="s">
        <v>99</v>
      </c>
      <c r="E461" t="s">
        <v>12</v>
      </c>
      <c r="F461" t="s">
        <v>12</v>
      </c>
    </row>
    <row r="462" spans="1:6">
      <c r="A462" t="s">
        <v>539</v>
      </c>
      <c r="B462" t="str">
        <f>"10673342253407581720"</f>
        <v>10673342253407581720</v>
      </c>
      <c r="C462" s="4">
        <v>45812</v>
      </c>
      <c r="D462" t="s">
        <v>241</v>
      </c>
      <c r="E462" t="s">
        <v>540</v>
      </c>
      <c r="F462" t="s">
        <v>541</v>
      </c>
    </row>
    <row r="463" spans="1:6">
      <c r="A463" t="s">
        <v>542</v>
      </c>
      <c r="B463" t="str">
        <f>"10673342253408603043"</f>
        <v>10673342253408603043</v>
      </c>
      <c r="C463" s="4">
        <v>45812</v>
      </c>
      <c r="D463" t="s">
        <v>241</v>
      </c>
      <c r="E463" t="s">
        <v>543</v>
      </c>
      <c r="F463" t="s">
        <v>544</v>
      </c>
    </row>
    <row r="464" spans="1:6">
      <c r="A464" t="s">
        <v>545</v>
      </c>
      <c r="B464" t="str">
        <f>"10673342253407135828"</f>
        <v>10673342253407135828</v>
      </c>
      <c r="C464" s="4">
        <v>45812</v>
      </c>
      <c r="D464" t="s">
        <v>99</v>
      </c>
      <c r="E464" t="s">
        <v>12</v>
      </c>
      <c r="F464" t="s">
        <v>12</v>
      </c>
    </row>
    <row r="465" spans="1:6">
      <c r="A465" t="s">
        <v>546</v>
      </c>
      <c r="B465" t="str">
        <f>"10673342253409309386"</f>
        <v>10673342253409309386</v>
      </c>
      <c r="C465" s="4">
        <v>45812</v>
      </c>
      <c r="D465" t="s">
        <v>241</v>
      </c>
      <c r="E465" t="s">
        <v>547</v>
      </c>
      <c r="F465" t="s">
        <v>544</v>
      </c>
    </row>
    <row r="466" spans="1:6">
      <c r="A466" t="s">
        <v>548</v>
      </c>
      <c r="B466" t="str">
        <f>"10673342253407510114"</f>
        <v>10673342253407510114</v>
      </c>
      <c r="C466" s="4">
        <v>45812</v>
      </c>
      <c r="D466" t="s">
        <v>241</v>
      </c>
      <c r="E466" t="s">
        <v>549</v>
      </c>
      <c r="F466" t="s">
        <v>541</v>
      </c>
    </row>
    <row r="467" spans="1:6">
      <c r="A467" t="s">
        <v>550</v>
      </c>
      <c r="B467" t="str">
        <f>"10673342253407614904"</f>
        <v>10673342253407614904</v>
      </c>
      <c r="C467" s="4">
        <v>45812</v>
      </c>
      <c r="D467" t="s">
        <v>241</v>
      </c>
      <c r="E467" t="s">
        <v>551</v>
      </c>
      <c r="F467" t="s">
        <v>541</v>
      </c>
    </row>
    <row r="468" spans="1:6">
      <c r="A468" t="s">
        <v>552</v>
      </c>
      <c r="B468" t="str">
        <f>"10673342253407543845"</f>
        <v>10673342253407543845</v>
      </c>
      <c r="C468" s="4">
        <v>45812</v>
      </c>
      <c r="D468" t="s">
        <v>241</v>
      </c>
      <c r="E468" t="s">
        <v>553</v>
      </c>
      <c r="F468" t="s">
        <v>541</v>
      </c>
    </row>
    <row r="469" spans="1:6">
      <c r="A469" t="s">
        <v>554</v>
      </c>
      <c r="B469" t="str">
        <f>"10673342253408411624"</f>
        <v>10673342253408411624</v>
      </c>
      <c r="C469" s="4">
        <v>45812</v>
      </c>
      <c r="D469" t="s">
        <v>241</v>
      </c>
      <c r="E469" t="s">
        <v>555</v>
      </c>
      <c r="F469" t="s">
        <v>544</v>
      </c>
    </row>
    <row r="470" spans="1:6">
      <c r="A470" t="s">
        <v>556</v>
      </c>
      <c r="B470" t="str">
        <f>"10673342253408022865"</f>
        <v>10673342253408022865</v>
      </c>
      <c r="C470" s="4">
        <v>45812</v>
      </c>
      <c r="D470" t="s">
        <v>241</v>
      </c>
      <c r="E470" t="s">
        <v>557</v>
      </c>
      <c r="F470" t="s">
        <v>544</v>
      </c>
    </row>
    <row r="471" spans="1:6">
      <c r="A471" t="s">
        <v>249</v>
      </c>
      <c r="B471" t="str">
        <f>"10673342253437188245"</f>
        <v>10673342253437188245</v>
      </c>
      <c r="C471" s="4">
        <v>45728</v>
      </c>
      <c r="D471" t="s">
        <v>241</v>
      </c>
      <c r="E471" t="s">
        <v>558</v>
      </c>
      <c r="F471" t="s">
        <v>559</v>
      </c>
    </row>
    <row r="472" spans="1:6">
      <c r="A472" t="s">
        <v>251</v>
      </c>
      <c r="B472" t="str">
        <f>"10673342253437463645"</f>
        <v>10673342253437463645</v>
      </c>
      <c r="C472" s="4">
        <v>45728</v>
      </c>
      <c r="D472" t="s">
        <v>241</v>
      </c>
      <c r="E472" t="s">
        <v>560</v>
      </c>
      <c r="F472" t="s">
        <v>561</v>
      </c>
    </row>
    <row r="473" spans="1:6">
      <c r="A473" t="s">
        <v>562</v>
      </c>
      <c r="B473" t="str">
        <f>"10673342253437345448"</f>
        <v>10673342253437345448</v>
      </c>
      <c r="C473" s="4">
        <v>45728</v>
      </c>
      <c r="D473" t="s">
        <v>241</v>
      </c>
      <c r="E473" t="s">
        <v>563</v>
      </c>
      <c r="F473" t="s">
        <v>561</v>
      </c>
    </row>
    <row r="474" spans="1:6">
      <c r="A474" t="s">
        <v>564</v>
      </c>
      <c r="B474" t="str">
        <f>"10677462254010806622"</f>
        <v>10677462254010806622</v>
      </c>
      <c r="C474" s="4">
        <v>45874</v>
      </c>
      <c r="D474" t="s">
        <v>241</v>
      </c>
      <c r="E474" t="s">
        <v>565</v>
      </c>
      <c r="F474" t="s">
        <v>566</v>
      </c>
    </row>
    <row r="475" spans="1:6">
      <c r="A475" t="s">
        <v>567</v>
      </c>
      <c r="B475" t="str">
        <f>"10677462254012257916"</f>
        <v>10677462254012257916</v>
      </c>
      <c r="C475" s="4">
        <v>45875</v>
      </c>
      <c r="D475" t="s">
        <v>241</v>
      </c>
      <c r="E475" t="s">
        <v>568</v>
      </c>
      <c r="F475" t="s">
        <v>569</v>
      </c>
    </row>
    <row r="476" spans="1:6">
      <c r="A476" t="s">
        <v>570</v>
      </c>
      <c r="B476" t="str">
        <f>"10677462254006380543"</f>
        <v>10677462254006380543</v>
      </c>
      <c r="C476" s="4">
        <v>45874</v>
      </c>
      <c r="D476" t="s">
        <v>241</v>
      </c>
      <c r="E476" t="s">
        <v>571</v>
      </c>
      <c r="F476" t="s">
        <v>389</v>
      </c>
    </row>
    <row r="477" spans="1:6">
      <c r="A477" t="s">
        <v>572</v>
      </c>
      <c r="B477" t="str">
        <f>"10677462254012354176"</f>
        <v>10677462254012354176</v>
      </c>
      <c r="C477" s="4">
        <v>45875</v>
      </c>
      <c r="D477" t="s">
        <v>241</v>
      </c>
      <c r="E477" t="s">
        <v>573</v>
      </c>
      <c r="F477" t="s">
        <v>569</v>
      </c>
    </row>
    <row r="478" spans="1:6">
      <c r="A478" t="s">
        <v>574</v>
      </c>
      <c r="B478" t="str">
        <f>"10677462254010796201"</f>
        <v>10677462254010796201</v>
      </c>
      <c r="C478" s="4">
        <v>45874</v>
      </c>
      <c r="D478" t="s">
        <v>241</v>
      </c>
      <c r="E478" t="s">
        <v>575</v>
      </c>
      <c r="F478" t="s">
        <v>576</v>
      </c>
    </row>
    <row r="479" spans="1:6">
      <c r="A479" t="s">
        <v>577</v>
      </c>
      <c r="B479" t="str">
        <f>"10677462254011937046"</f>
        <v>10677462254011937046</v>
      </c>
      <c r="C479" s="4">
        <v>45875</v>
      </c>
      <c r="D479" t="s">
        <v>241</v>
      </c>
      <c r="E479" t="s">
        <v>578</v>
      </c>
      <c r="F479" t="s">
        <v>569</v>
      </c>
    </row>
    <row r="480" spans="1:6">
      <c r="A480" t="s">
        <v>579</v>
      </c>
      <c r="B480" t="str">
        <f>"10677462254010624435"</f>
        <v>10677462254010624435</v>
      </c>
      <c r="C480" s="4">
        <v>45874</v>
      </c>
      <c r="D480" t="s">
        <v>241</v>
      </c>
      <c r="E480" t="s">
        <v>580</v>
      </c>
      <c r="F480" t="s">
        <v>576</v>
      </c>
    </row>
    <row r="481" spans="1:6">
      <c r="A481" t="s">
        <v>581</v>
      </c>
      <c r="B481" t="str">
        <f>"10677462254011759873"</f>
        <v>10677462254011759873</v>
      </c>
      <c r="C481" s="4">
        <v>45875</v>
      </c>
      <c r="D481" t="s">
        <v>241</v>
      </c>
      <c r="E481" t="s">
        <v>582</v>
      </c>
      <c r="F481" t="s">
        <v>569</v>
      </c>
    </row>
    <row r="482" spans="1:6">
      <c r="A482" t="s">
        <v>583</v>
      </c>
      <c r="B482" t="str">
        <f>"10677462254010764555"</f>
        <v>10677462254010764555</v>
      </c>
      <c r="C482" s="4">
        <v>45874</v>
      </c>
      <c r="D482" t="s">
        <v>241</v>
      </c>
      <c r="E482" t="s">
        <v>584</v>
      </c>
      <c r="F482" t="s">
        <v>576</v>
      </c>
    </row>
    <row r="483" spans="1:6">
      <c r="A483" t="s">
        <v>585</v>
      </c>
      <c r="B483" t="str">
        <f>"10677462254010917122"</f>
        <v>10677462254010917122</v>
      </c>
      <c r="C483" s="4">
        <v>45874</v>
      </c>
      <c r="D483" t="s">
        <v>241</v>
      </c>
      <c r="E483" t="s">
        <v>586</v>
      </c>
      <c r="F483" t="s">
        <v>566</v>
      </c>
    </row>
    <row r="484" spans="1:6">
      <c r="A484" t="s">
        <v>587</v>
      </c>
      <c r="B484" t="str">
        <f>"10677462254011294676"</f>
        <v>10677462254011294676</v>
      </c>
      <c r="C484" s="4">
        <v>45874</v>
      </c>
      <c r="D484" t="s">
        <v>241</v>
      </c>
      <c r="E484" t="s">
        <v>588</v>
      </c>
      <c r="F484" t="s">
        <v>566</v>
      </c>
    </row>
    <row r="485" spans="1:6">
      <c r="A485" t="s">
        <v>589</v>
      </c>
      <c r="B485" t="str">
        <f>"10677462254011413950"</f>
        <v>10677462254011413950</v>
      </c>
      <c r="C485" s="4">
        <v>45874</v>
      </c>
      <c r="D485" t="s">
        <v>241</v>
      </c>
      <c r="E485" t="s">
        <v>590</v>
      </c>
      <c r="F485" t="s">
        <v>566</v>
      </c>
    </row>
    <row r="486" spans="1:6">
      <c r="A486" t="s">
        <v>591</v>
      </c>
      <c r="B486" t="str">
        <f>"10677462254008400355"</f>
        <v>10677462254008400355</v>
      </c>
      <c r="C486" s="4">
        <v>45874</v>
      </c>
      <c r="D486" t="s">
        <v>241</v>
      </c>
      <c r="E486" t="s">
        <v>592</v>
      </c>
      <c r="F486" t="s">
        <v>593</v>
      </c>
    </row>
    <row r="487" spans="1:6">
      <c r="A487" t="s">
        <v>594</v>
      </c>
      <c r="B487" t="str">
        <f>"10677462254007703761"</f>
        <v>10677462254007703761</v>
      </c>
      <c r="C487" s="4">
        <v>45874</v>
      </c>
      <c r="D487" t="s">
        <v>241</v>
      </c>
      <c r="E487" t="s">
        <v>595</v>
      </c>
      <c r="F487" t="s">
        <v>596</v>
      </c>
    </row>
    <row r="488" spans="1:6">
      <c r="A488" t="s">
        <v>597</v>
      </c>
      <c r="B488" t="str">
        <f>"10677462254007615528"</f>
        <v>10677462254007615528</v>
      </c>
      <c r="C488" s="4">
        <v>45874</v>
      </c>
      <c r="D488" t="s">
        <v>241</v>
      </c>
      <c r="E488" t="s">
        <v>598</v>
      </c>
      <c r="F488" t="s">
        <v>596</v>
      </c>
    </row>
    <row r="489" spans="1:6">
      <c r="A489" t="s">
        <v>599</v>
      </c>
      <c r="B489" t="str">
        <f>"10677462254007674877"</f>
        <v>10677462254007674877</v>
      </c>
      <c r="C489" s="4">
        <v>45874</v>
      </c>
      <c r="D489" t="s">
        <v>241</v>
      </c>
      <c r="E489" t="s">
        <v>600</v>
      </c>
      <c r="F489" t="s">
        <v>596</v>
      </c>
    </row>
    <row r="490" spans="1:6">
      <c r="A490" t="s">
        <v>601</v>
      </c>
      <c r="B490" t="str">
        <f>"10677462254007163686"</f>
        <v>10677462254007163686</v>
      </c>
      <c r="C490" s="4">
        <v>45874</v>
      </c>
      <c r="D490" t="s">
        <v>241</v>
      </c>
      <c r="E490" t="s">
        <v>602</v>
      </c>
      <c r="F490" t="s">
        <v>603</v>
      </c>
    </row>
    <row r="491" spans="1:6">
      <c r="A491" t="s">
        <v>604</v>
      </c>
      <c r="B491" t="str">
        <f>"10677462254007388262"</f>
        <v>10677462254007388262</v>
      </c>
      <c r="C491" s="4">
        <v>45874</v>
      </c>
      <c r="D491" t="s">
        <v>241</v>
      </c>
      <c r="E491" t="s">
        <v>605</v>
      </c>
      <c r="F491" t="s">
        <v>596</v>
      </c>
    </row>
    <row r="492" spans="1:6">
      <c r="A492" t="s">
        <v>606</v>
      </c>
      <c r="B492" t="str">
        <f>"10677462254007015121"</f>
        <v>10677462254007015121</v>
      </c>
      <c r="C492" s="4">
        <v>45874</v>
      </c>
      <c r="D492" t="s">
        <v>241</v>
      </c>
      <c r="E492" t="s">
        <v>607</v>
      </c>
      <c r="F492" t="s">
        <v>603</v>
      </c>
    </row>
    <row r="493" spans="1:6">
      <c r="A493" t="s">
        <v>608</v>
      </c>
      <c r="B493" t="str">
        <f>"10677462254007156124"</f>
        <v>10677462254007156124</v>
      </c>
      <c r="C493" s="4">
        <v>45874</v>
      </c>
      <c r="D493" t="s">
        <v>241</v>
      </c>
      <c r="E493" t="s">
        <v>609</v>
      </c>
      <c r="F493" t="s">
        <v>603</v>
      </c>
    </row>
    <row r="494" spans="1:6">
      <c r="A494" t="s">
        <v>610</v>
      </c>
      <c r="B494" t="str">
        <f>"10677462254006715081"</f>
        <v>10677462254006715081</v>
      </c>
      <c r="C494" s="4">
        <v>45874</v>
      </c>
      <c r="D494" t="s">
        <v>241</v>
      </c>
      <c r="E494" t="s">
        <v>611</v>
      </c>
      <c r="F494" t="s">
        <v>603</v>
      </c>
    </row>
    <row r="495" spans="1:6">
      <c r="A495" t="s">
        <v>612</v>
      </c>
      <c r="B495" t="str">
        <f>"10677462254009718480"</f>
        <v>10677462254009718480</v>
      </c>
      <c r="C495" s="4">
        <v>45874</v>
      </c>
      <c r="D495" t="s">
        <v>241</v>
      </c>
      <c r="E495" t="s">
        <v>613</v>
      </c>
      <c r="F495" t="s">
        <v>576</v>
      </c>
    </row>
    <row r="496" spans="1:6">
      <c r="A496" t="s">
        <v>614</v>
      </c>
      <c r="B496" t="str">
        <f>"10677462254009623544"</f>
        <v>10677462254009623544</v>
      </c>
      <c r="C496" s="4">
        <v>45874</v>
      </c>
      <c r="D496" t="s">
        <v>241</v>
      </c>
      <c r="E496" t="s">
        <v>615</v>
      </c>
      <c r="F496" t="s">
        <v>593</v>
      </c>
    </row>
    <row r="497" spans="1:6">
      <c r="A497" t="s">
        <v>616</v>
      </c>
      <c r="B497" t="str">
        <f>"10677462254008806173"</f>
        <v>10677462254008806173</v>
      </c>
      <c r="C497" s="4">
        <v>45874</v>
      </c>
      <c r="D497" t="s">
        <v>241</v>
      </c>
      <c r="E497" t="s">
        <v>617</v>
      </c>
      <c r="F497" t="s">
        <v>593</v>
      </c>
    </row>
    <row r="498" spans="1:6">
      <c r="A498" t="s">
        <v>618</v>
      </c>
      <c r="B498" t="str">
        <f>"10677462254008896709"</f>
        <v>10677462254008896709</v>
      </c>
      <c r="C498" s="4">
        <v>45874</v>
      </c>
      <c r="D498" t="s">
        <v>241</v>
      </c>
      <c r="E498" t="s">
        <v>619</v>
      </c>
      <c r="F498" t="s">
        <v>593</v>
      </c>
    </row>
    <row r="499" spans="1:6">
      <c r="A499" t="s">
        <v>620</v>
      </c>
      <c r="B499" t="str">
        <f>"10673342253460036707"</f>
        <v>10673342253460036707</v>
      </c>
      <c r="C499" s="4">
        <v>45755</v>
      </c>
      <c r="D499" t="s">
        <v>241</v>
      </c>
      <c r="E499" t="s">
        <v>621</v>
      </c>
      <c r="F499" t="s">
        <v>622</v>
      </c>
    </row>
    <row r="500" spans="1:6">
      <c r="A500" t="s">
        <v>623</v>
      </c>
      <c r="B500" t="str">
        <f>"10673342253460380769"</f>
        <v>10673342253460380769</v>
      </c>
      <c r="C500" s="4">
        <v>45755</v>
      </c>
      <c r="D500" t="s">
        <v>99</v>
      </c>
      <c r="E500" t="s">
        <v>12</v>
      </c>
      <c r="F500" t="s">
        <v>12</v>
      </c>
    </row>
    <row r="501" spans="1:6">
      <c r="A501" t="s">
        <v>624</v>
      </c>
      <c r="B501" t="str">
        <f>"10673342253460038629"</f>
        <v>10673342253460038629</v>
      </c>
      <c r="C501" s="4">
        <v>45755</v>
      </c>
      <c r="D501" t="s">
        <v>241</v>
      </c>
      <c r="E501" t="s">
        <v>625</v>
      </c>
      <c r="F501" t="s">
        <v>622</v>
      </c>
    </row>
    <row r="502" spans="1:6">
      <c r="A502" t="s">
        <v>100</v>
      </c>
      <c r="B502" t="str">
        <f>"10673342253459275280"</f>
        <v>10673342253459275280</v>
      </c>
      <c r="C502" s="4">
        <v>45755</v>
      </c>
      <c r="D502" t="s">
        <v>99</v>
      </c>
      <c r="E502" t="s">
        <v>12</v>
      </c>
      <c r="F502" t="s">
        <v>12</v>
      </c>
    </row>
    <row r="503" spans="1:6">
      <c r="A503" t="s">
        <v>626</v>
      </c>
      <c r="B503" t="str">
        <f>"10673342253459575560"</f>
        <v>10673342253459575560</v>
      </c>
      <c r="C503" s="4">
        <v>45755</v>
      </c>
      <c r="D503" t="s">
        <v>241</v>
      </c>
      <c r="E503" t="s">
        <v>627</v>
      </c>
      <c r="F503" t="s">
        <v>622</v>
      </c>
    </row>
    <row r="504" spans="1:6">
      <c r="A504" t="s">
        <v>628</v>
      </c>
      <c r="B504" t="str">
        <f>"10673342253459467046"</f>
        <v>10673342253459467046</v>
      </c>
      <c r="C504" s="4">
        <v>45755</v>
      </c>
      <c r="D504" t="s">
        <v>241</v>
      </c>
      <c r="E504" t="s">
        <v>629</v>
      </c>
      <c r="F504" t="s">
        <v>622</v>
      </c>
    </row>
    <row r="505" spans="1:6">
      <c r="A505" t="s">
        <v>630</v>
      </c>
      <c r="B505" t="str">
        <f>"10673342253459150143"</f>
        <v>10673342253459150143</v>
      </c>
      <c r="C505" s="4">
        <v>45755</v>
      </c>
      <c r="D505" t="s">
        <v>99</v>
      </c>
      <c r="E505" t="s">
        <v>12</v>
      </c>
      <c r="F505" t="s">
        <v>12</v>
      </c>
    </row>
    <row r="506" spans="1:6">
      <c r="A506" t="s">
        <v>631</v>
      </c>
      <c r="B506" t="str">
        <f>"10673342253460396878"</f>
        <v>10673342253460396878</v>
      </c>
      <c r="C506" s="4">
        <v>45755</v>
      </c>
      <c r="D506" t="s">
        <v>99</v>
      </c>
      <c r="E506" t="s">
        <v>12</v>
      </c>
      <c r="F506" t="s">
        <v>12</v>
      </c>
    </row>
    <row r="507" spans="1:6">
      <c r="A507" t="s">
        <v>632</v>
      </c>
      <c r="B507" t="str">
        <f>"10673342253460972240"</f>
        <v>10673342253460972240</v>
      </c>
      <c r="C507" s="4">
        <v>45755</v>
      </c>
      <c r="D507" t="s">
        <v>99</v>
      </c>
      <c r="E507" t="s">
        <v>12</v>
      </c>
      <c r="F507" t="s">
        <v>12</v>
      </c>
    </row>
    <row r="508" spans="1:6">
      <c r="A508" t="s">
        <v>633</v>
      </c>
      <c r="B508" t="str">
        <f>"10673342253459081464"</f>
        <v>10673342253459081464</v>
      </c>
      <c r="C508" s="4">
        <v>45755</v>
      </c>
      <c r="D508" t="s">
        <v>99</v>
      </c>
      <c r="E508" t="s">
        <v>12</v>
      </c>
      <c r="F508" t="s">
        <v>12</v>
      </c>
    </row>
    <row r="509" spans="1:6">
      <c r="A509" t="s">
        <v>634</v>
      </c>
      <c r="B509" t="str">
        <f>"10673342253458728923"</f>
        <v>10673342253458728923</v>
      </c>
      <c r="C509" s="4">
        <v>45755</v>
      </c>
      <c r="D509" t="s">
        <v>241</v>
      </c>
      <c r="E509" t="s">
        <v>635</v>
      </c>
      <c r="F509" t="s">
        <v>636</v>
      </c>
    </row>
    <row r="510" spans="1:6">
      <c r="A510" t="s">
        <v>637</v>
      </c>
      <c r="B510" t="str">
        <f>"10673342253459013405"</f>
        <v>10673342253459013405</v>
      </c>
      <c r="C510" s="4">
        <v>45755</v>
      </c>
      <c r="D510" t="s">
        <v>99</v>
      </c>
      <c r="E510" t="s">
        <v>12</v>
      </c>
      <c r="F510" t="s">
        <v>12</v>
      </c>
    </row>
    <row r="511" spans="1:6">
      <c r="A511" t="s">
        <v>638</v>
      </c>
      <c r="B511" t="str">
        <f>"10673342253458231026"</f>
        <v>10673342253458231026</v>
      </c>
      <c r="C511" s="4">
        <v>45755</v>
      </c>
      <c r="D511" t="s">
        <v>241</v>
      </c>
      <c r="E511" t="s">
        <v>639</v>
      </c>
      <c r="F511" t="s">
        <v>640</v>
      </c>
    </row>
    <row r="512" spans="1:6">
      <c r="A512" t="s">
        <v>641</v>
      </c>
      <c r="B512" t="str">
        <f>"10673342253458462338"</f>
        <v>10673342253458462338</v>
      </c>
      <c r="C512" s="4">
        <v>45755</v>
      </c>
      <c r="D512" t="s">
        <v>241</v>
      </c>
      <c r="E512" t="s">
        <v>642</v>
      </c>
      <c r="F512" t="s">
        <v>643</v>
      </c>
    </row>
    <row r="513" spans="1:6">
      <c r="A513" t="s">
        <v>644</v>
      </c>
      <c r="B513" t="str">
        <f>"10673342253458365170"</f>
        <v>10673342253458365170</v>
      </c>
      <c r="C513" s="4">
        <v>45755</v>
      </c>
      <c r="D513" t="s">
        <v>241</v>
      </c>
      <c r="E513" t="s">
        <v>645</v>
      </c>
      <c r="F513" t="s">
        <v>643</v>
      </c>
    </row>
    <row r="514" spans="1:6">
      <c r="A514" t="s">
        <v>646</v>
      </c>
      <c r="B514" t="str">
        <f>"10673342253458324784"</f>
        <v>10673342253458324784</v>
      </c>
      <c r="C514" s="4">
        <v>45755</v>
      </c>
      <c r="D514" t="s">
        <v>241</v>
      </c>
      <c r="E514" t="s">
        <v>647</v>
      </c>
      <c r="F514" t="s">
        <v>643</v>
      </c>
    </row>
    <row r="515" spans="1:6">
      <c r="A515" t="s">
        <v>240</v>
      </c>
      <c r="B515" t="str">
        <f>"10673342253462162181"</f>
        <v>10673342253462162181</v>
      </c>
      <c r="C515" s="4">
        <v>45756</v>
      </c>
      <c r="D515" t="s">
        <v>241</v>
      </c>
      <c r="E515" t="s">
        <v>648</v>
      </c>
      <c r="F515" t="s">
        <v>649</v>
      </c>
    </row>
    <row r="516" spans="1:6">
      <c r="A516" t="s">
        <v>650</v>
      </c>
      <c r="B516" t="str">
        <f>"10673342253462024765"</f>
        <v>10673342253462024765</v>
      </c>
      <c r="C516" s="4">
        <v>45757</v>
      </c>
      <c r="D516" t="s">
        <v>241</v>
      </c>
      <c r="E516" t="s">
        <v>651</v>
      </c>
      <c r="F516" t="s">
        <v>636</v>
      </c>
    </row>
    <row r="517" spans="1:6">
      <c r="A517" t="s">
        <v>652</v>
      </c>
      <c r="B517" t="str">
        <f>"10673342253461908678"</f>
        <v>10673342253461908678</v>
      </c>
      <c r="C517" s="4">
        <v>45757</v>
      </c>
      <c r="D517" t="s">
        <v>241</v>
      </c>
      <c r="E517" t="s">
        <v>653</v>
      </c>
      <c r="F517" t="s">
        <v>636</v>
      </c>
    </row>
    <row r="518" spans="1:6">
      <c r="A518" t="s">
        <v>654</v>
      </c>
      <c r="B518" t="str">
        <f>"10673342253461359097"</f>
        <v>10673342253461359097</v>
      </c>
      <c r="C518" s="4">
        <v>45757</v>
      </c>
      <c r="D518" t="s">
        <v>241</v>
      </c>
      <c r="E518" t="s">
        <v>655</v>
      </c>
      <c r="F518" t="s">
        <v>656</v>
      </c>
    </row>
    <row r="519" spans="1:6">
      <c r="A519" t="s">
        <v>657</v>
      </c>
      <c r="B519" t="str">
        <f>"10673342253461682378"</f>
        <v>10673342253461682378</v>
      </c>
      <c r="C519" s="4">
        <v>45757</v>
      </c>
      <c r="D519" t="s">
        <v>241</v>
      </c>
      <c r="E519" t="s">
        <v>658</v>
      </c>
      <c r="F519" t="s">
        <v>656</v>
      </c>
    </row>
    <row r="520" spans="1:6">
      <c r="A520" t="s">
        <v>659</v>
      </c>
      <c r="B520" t="str">
        <f>"10673342253461359151"</f>
        <v>10673342253461359151</v>
      </c>
      <c r="C520" s="4">
        <v>45757</v>
      </c>
      <c r="D520" t="s">
        <v>241</v>
      </c>
      <c r="E520" t="s">
        <v>660</v>
      </c>
      <c r="F520" t="s">
        <v>656</v>
      </c>
    </row>
    <row r="521" spans="1:6">
      <c r="A521" t="s">
        <v>661</v>
      </c>
      <c r="B521" t="str">
        <f>"10673342253461316355"</f>
        <v>10673342253461316355</v>
      </c>
      <c r="C521" s="4">
        <v>45757</v>
      </c>
      <c r="D521" t="s">
        <v>241</v>
      </c>
      <c r="E521" t="s">
        <v>662</v>
      </c>
      <c r="F521" t="s">
        <v>656</v>
      </c>
    </row>
    <row r="522" spans="1:6">
      <c r="A522" t="s">
        <v>663</v>
      </c>
      <c r="B522" t="str">
        <f>"10673342253461033868"</f>
        <v>10673342253461033868</v>
      </c>
      <c r="C522" s="4">
        <v>45757</v>
      </c>
      <c r="D522" t="s">
        <v>99</v>
      </c>
      <c r="E522" t="s">
        <v>12</v>
      </c>
      <c r="F522" t="s">
        <v>12</v>
      </c>
    </row>
    <row r="523" spans="1:6">
      <c r="A523" t="s">
        <v>624</v>
      </c>
      <c r="B523" t="str">
        <f>"10673342253466479295"</f>
        <v>10673342253466479295</v>
      </c>
      <c r="C523" s="4">
        <v>45761</v>
      </c>
      <c r="D523" t="s">
        <v>241</v>
      </c>
      <c r="E523" t="s">
        <v>664</v>
      </c>
      <c r="F523" t="s">
        <v>665</v>
      </c>
    </row>
    <row r="524" spans="1:6">
      <c r="A524" t="s">
        <v>100</v>
      </c>
      <c r="B524" t="str">
        <f>"10673342253466347186"</f>
        <v>10673342253466347186</v>
      </c>
      <c r="C524" s="4">
        <v>45761</v>
      </c>
      <c r="D524" t="s">
        <v>241</v>
      </c>
      <c r="E524" t="s">
        <v>666</v>
      </c>
      <c r="F524" t="s">
        <v>667</v>
      </c>
    </row>
    <row r="525" spans="1:6">
      <c r="A525" t="s">
        <v>626</v>
      </c>
      <c r="B525" t="str">
        <f>"10673342253465838788"</f>
        <v>10673342253465838788</v>
      </c>
      <c r="C525" s="4">
        <v>45761</v>
      </c>
      <c r="D525" t="s">
        <v>241</v>
      </c>
      <c r="E525" t="s">
        <v>668</v>
      </c>
      <c r="F525" t="s">
        <v>667</v>
      </c>
    </row>
    <row r="526" spans="1:6">
      <c r="A526" t="s">
        <v>628</v>
      </c>
      <c r="B526" t="str">
        <f>"10673342253465411549"</f>
        <v>10673342253465411549</v>
      </c>
      <c r="C526" s="4">
        <v>45761</v>
      </c>
      <c r="D526" t="s">
        <v>241</v>
      </c>
      <c r="E526" t="s">
        <v>669</v>
      </c>
      <c r="F526" t="s">
        <v>667</v>
      </c>
    </row>
    <row r="527" spans="1:6">
      <c r="A527" t="s">
        <v>670</v>
      </c>
      <c r="B527" t="str">
        <f>"10673342253468068993"</f>
        <v>10673342253468068993</v>
      </c>
      <c r="C527" s="4">
        <v>45763</v>
      </c>
      <c r="D527" t="s">
        <v>241</v>
      </c>
      <c r="E527" t="s">
        <v>671</v>
      </c>
      <c r="F527" t="s">
        <v>672</v>
      </c>
    </row>
    <row r="528" spans="1:6">
      <c r="A528" t="s">
        <v>330</v>
      </c>
      <c r="B528" t="str">
        <f>"10673342253468836753"</f>
        <v>10673342253468836753</v>
      </c>
      <c r="C528" s="4">
        <v>45763</v>
      </c>
      <c r="D528" t="s">
        <v>99</v>
      </c>
      <c r="E528" t="s">
        <v>12</v>
      </c>
      <c r="F528" t="s">
        <v>12</v>
      </c>
    </row>
    <row r="529" spans="1:6">
      <c r="A529" t="s">
        <v>673</v>
      </c>
      <c r="B529" t="str">
        <f>"10673342253467915986"</f>
        <v>10673342253467915986</v>
      </c>
      <c r="C529" s="4">
        <v>45763</v>
      </c>
      <c r="D529" t="s">
        <v>241</v>
      </c>
      <c r="E529" t="s">
        <v>674</v>
      </c>
      <c r="F529" t="s">
        <v>665</v>
      </c>
    </row>
    <row r="530" spans="1:6">
      <c r="A530" t="s">
        <v>675</v>
      </c>
      <c r="B530" t="str">
        <f>"10673342253468458457"</f>
        <v>10673342253468458457</v>
      </c>
      <c r="C530" s="4">
        <v>45763</v>
      </c>
      <c r="D530" t="s">
        <v>241</v>
      </c>
      <c r="E530" t="s">
        <v>676</v>
      </c>
      <c r="F530" t="s">
        <v>672</v>
      </c>
    </row>
    <row r="531" spans="1:6">
      <c r="A531" t="s">
        <v>268</v>
      </c>
      <c r="B531" t="str">
        <f>"10673342253463196381"</f>
        <v>10673342253463196381</v>
      </c>
      <c r="C531" s="4">
        <v>45756</v>
      </c>
      <c r="D531" t="s">
        <v>241</v>
      </c>
      <c r="E531" t="s">
        <v>677</v>
      </c>
      <c r="F531" t="s">
        <v>649</v>
      </c>
    </row>
    <row r="532" spans="1:6">
      <c r="A532" t="s">
        <v>270</v>
      </c>
      <c r="B532" t="str">
        <f>"10673342253462919150"</f>
        <v>10673342253462919150</v>
      </c>
      <c r="C532" s="4">
        <v>45756</v>
      </c>
      <c r="D532" t="s">
        <v>241</v>
      </c>
      <c r="E532" t="s">
        <v>678</v>
      </c>
      <c r="F532" t="s">
        <v>649</v>
      </c>
    </row>
    <row r="533" spans="1:6">
      <c r="A533" t="s">
        <v>272</v>
      </c>
      <c r="B533" t="str">
        <f>"10673342253462678455"</f>
        <v>10673342253462678455</v>
      </c>
      <c r="C533" s="4">
        <v>45756</v>
      </c>
      <c r="D533" t="s">
        <v>241</v>
      </c>
      <c r="E533" t="s">
        <v>679</v>
      </c>
      <c r="F533" t="s">
        <v>649</v>
      </c>
    </row>
    <row r="534" spans="1:6">
      <c r="A534" t="s">
        <v>680</v>
      </c>
      <c r="B534" t="str">
        <f>"10673342253440357877"</f>
        <v>10673342253440357877</v>
      </c>
      <c r="C534" s="4">
        <v>45733</v>
      </c>
      <c r="D534" t="s">
        <v>241</v>
      </c>
      <c r="E534" t="s">
        <v>681</v>
      </c>
      <c r="F534" t="s">
        <v>682</v>
      </c>
    </row>
    <row r="535" spans="1:6">
      <c r="A535" t="s">
        <v>683</v>
      </c>
      <c r="B535" t="str">
        <f>"10673342253439941137"</f>
        <v>10673342253439941137</v>
      </c>
      <c r="C535" s="4">
        <v>45733</v>
      </c>
      <c r="D535" t="s">
        <v>241</v>
      </c>
      <c r="E535" t="s">
        <v>684</v>
      </c>
      <c r="F535" t="s">
        <v>685</v>
      </c>
    </row>
    <row r="536" spans="1:6">
      <c r="A536" t="s">
        <v>686</v>
      </c>
      <c r="B536" t="str">
        <f>"10673342253440355785"</f>
        <v>10673342253440355785</v>
      </c>
      <c r="C536" s="4">
        <v>45733</v>
      </c>
      <c r="D536" t="s">
        <v>241</v>
      </c>
      <c r="E536" t="s">
        <v>687</v>
      </c>
      <c r="F536" t="s">
        <v>561</v>
      </c>
    </row>
    <row r="537" spans="1:6">
      <c r="A537" t="s">
        <v>688</v>
      </c>
      <c r="B537" t="str">
        <f>"10673342253440204582"</f>
        <v>10673342253440204582</v>
      </c>
      <c r="C537" s="4">
        <v>45733</v>
      </c>
      <c r="D537" t="s">
        <v>241</v>
      </c>
      <c r="E537" t="s">
        <v>689</v>
      </c>
      <c r="F537" t="s">
        <v>685</v>
      </c>
    </row>
    <row r="538" spans="1:6">
      <c r="A538" t="s">
        <v>690</v>
      </c>
      <c r="B538" t="str">
        <f>"10673342253439764006"</f>
        <v>10673342253439764006</v>
      </c>
      <c r="C538" s="4">
        <v>45733</v>
      </c>
      <c r="D538" t="s">
        <v>241</v>
      </c>
      <c r="E538" t="s">
        <v>691</v>
      </c>
      <c r="F538" t="s">
        <v>692</v>
      </c>
    </row>
    <row r="539" spans="1:6">
      <c r="A539" t="s">
        <v>322</v>
      </c>
      <c r="B539" t="str">
        <f>"10673342253439860552"</f>
        <v>10673342253439860552</v>
      </c>
      <c r="C539" s="4">
        <v>45733</v>
      </c>
      <c r="D539" t="s">
        <v>241</v>
      </c>
      <c r="E539" t="s">
        <v>693</v>
      </c>
      <c r="F539" t="s">
        <v>685</v>
      </c>
    </row>
    <row r="540" spans="1:6">
      <c r="A540" t="s">
        <v>325</v>
      </c>
      <c r="B540" t="str">
        <f>"10673342253439785038"</f>
        <v>10673342253439785038</v>
      </c>
      <c r="C540" s="4">
        <v>45733</v>
      </c>
      <c r="D540" t="s">
        <v>241</v>
      </c>
      <c r="E540" t="s">
        <v>694</v>
      </c>
      <c r="F540" t="s">
        <v>685</v>
      </c>
    </row>
    <row r="541" spans="1:6">
      <c r="A541" t="s">
        <v>327</v>
      </c>
      <c r="B541" t="str">
        <f>"10673342253439757654"</f>
        <v>10673342253439757654</v>
      </c>
      <c r="C541" s="4">
        <v>45733</v>
      </c>
      <c r="D541" t="s">
        <v>241</v>
      </c>
      <c r="E541" t="s">
        <v>695</v>
      </c>
      <c r="F541" t="s">
        <v>692</v>
      </c>
    </row>
    <row r="542" spans="1:6">
      <c r="A542" t="s">
        <v>329</v>
      </c>
      <c r="B542" t="str">
        <f>"10673342253439681003"</f>
        <v>10673342253439681003</v>
      </c>
      <c r="C542" s="4">
        <v>45733</v>
      </c>
      <c r="D542" t="s">
        <v>241</v>
      </c>
      <c r="E542" t="s">
        <v>696</v>
      </c>
      <c r="F542" t="s">
        <v>692</v>
      </c>
    </row>
    <row r="543" spans="1:6">
      <c r="A543" t="s">
        <v>697</v>
      </c>
      <c r="B543" t="str">
        <f>"10673342253436137922"</f>
        <v>10673342253436137922</v>
      </c>
      <c r="C543" s="4">
        <v>45727</v>
      </c>
      <c r="D543" t="s">
        <v>241</v>
      </c>
      <c r="E543" t="s">
        <v>698</v>
      </c>
      <c r="F543" t="s">
        <v>699</v>
      </c>
    </row>
    <row r="544" spans="1:6">
      <c r="A544" t="s">
        <v>700</v>
      </c>
      <c r="B544" t="str">
        <f>"10673342253435965899"</f>
        <v>10673342253435965899</v>
      </c>
      <c r="C544" s="4">
        <v>45727</v>
      </c>
      <c r="D544" t="s">
        <v>241</v>
      </c>
      <c r="E544" t="s">
        <v>701</v>
      </c>
      <c r="F544" t="s">
        <v>699</v>
      </c>
    </row>
    <row r="545" spans="1:6">
      <c r="A545" t="s">
        <v>702</v>
      </c>
      <c r="B545" t="str">
        <f>"10673342253435666980"</f>
        <v>10673342253435666980</v>
      </c>
      <c r="C545" s="4">
        <v>45727</v>
      </c>
      <c r="D545" t="s">
        <v>241</v>
      </c>
      <c r="E545" t="s">
        <v>703</v>
      </c>
      <c r="F545" t="s">
        <v>699</v>
      </c>
    </row>
    <row r="546" spans="1:6">
      <c r="A546" t="s">
        <v>704</v>
      </c>
      <c r="B546" t="str">
        <f>"10673342253435618633"</f>
        <v>10673342253435618633</v>
      </c>
      <c r="C546" s="4">
        <v>45727</v>
      </c>
      <c r="D546" t="s">
        <v>241</v>
      </c>
      <c r="E546" t="s">
        <v>705</v>
      </c>
      <c r="F546" t="s">
        <v>699</v>
      </c>
    </row>
    <row r="547" spans="1:6">
      <c r="A547" t="s">
        <v>706</v>
      </c>
      <c r="B547" t="str">
        <f>"10677462254031159782"</f>
        <v>10677462254031159782</v>
      </c>
      <c r="C547" s="4">
        <v>45910</v>
      </c>
      <c r="D547" t="s">
        <v>241</v>
      </c>
      <c r="E547" t="s">
        <v>707</v>
      </c>
      <c r="F547" t="s">
        <v>708</v>
      </c>
    </row>
    <row r="548" spans="1:6">
      <c r="A548" t="s">
        <v>709</v>
      </c>
      <c r="B548" t="str">
        <f>"10677462254032453617"</f>
        <v>10677462254032453617</v>
      </c>
      <c r="C548" s="4">
        <v>45911</v>
      </c>
      <c r="D548" t="s">
        <v>241</v>
      </c>
      <c r="E548" t="s">
        <v>710</v>
      </c>
      <c r="F548" t="s">
        <v>711</v>
      </c>
    </row>
    <row r="549" spans="1:6">
      <c r="A549" t="s">
        <v>712</v>
      </c>
      <c r="B549" t="str">
        <f>"10673342253434869829"</f>
        <v>10673342253434869829</v>
      </c>
      <c r="C549" s="4">
        <v>45842</v>
      </c>
      <c r="D549" t="s">
        <v>241</v>
      </c>
      <c r="E549" t="s">
        <v>332</v>
      </c>
      <c r="F549" t="s">
        <v>333</v>
      </c>
    </row>
    <row r="550" spans="1:6">
      <c r="A550" t="s">
        <v>713</v>
      </c>
      <c r="B550" t="str">
        <f>"10673342253439165269"</f>
        <v>10673342253439165269</v>
      </c>
      <c r="C550" s="4">
        <v>45848</v>
      </c>
      <c r="D550" t="s">
        <v>241</v>
      </c>
      <c r="E550" t="s">
        <v>418</v>
      </c>
      <c r="F550" t="s">
        <v>419</v>
      </c>
    </row>
    <row r="551" spans="1:6">
      <c r="A551" t="s">
        <v>714</v>
      </c>
      <c r="B551" t="str">
        <f>"10673342253440303149"</f>
        <v>10673342253440303149</v>
      </c>
      <c r="C551" s="4">
        <v>45848</v>
      </c>
      <c r="D551" t="s">
        <v>241</v>
      </c>
      <c r="E551" t="s">
        <v>354</v>
      </c>
      <c r="F551" t="s">
        <v>355</v>
      </c>
    </row>
    <row r="552" spans="1:6">
      <c r="A552" t="s">
        <v>715</v>
      </c>
      <c r="B552" t="str">
        <f>"10677462254034630583"</f>
        <v>10677462254034630583</v>
      </c>
      <c r="C552" s="4">
        <v>45916</v>
      </c>
      <c r="D552" t="s">
        <v>241</v>
      </c>
      <c r="E552" t="s">
        <v>716</v>
      </c>
      <c r="F552" t="s">
        <v>717</v>
      </c>
    </row>
    <row r="553" spans="1:6">
      <c r="A553" t="s">
        <v>718</v>
      </c>
      <c r="B553" t="str">
        <f>"10677462254031477970"</f>
        <v>10677462254031477970</v>
      </c>
      <c r="C553" s="4">
        <v>45910</v>
      </c>
      <c r="D553" t="s">
        <v>241</v>
      </c>
      <c r="E553" t="s">
        <v>719</v>
      </c>
      <c r="F553" t="s">
        <v>708</v>
      </c>
    </row>
    <row r="554" spans="1:6">
      <c r="A554" t="s">
        <v>720</v>
      </c>
      <c r="B554" t="str">
        <f>"10677462254032983624"</f>
        <v>10677462254032983624</v>
      </c>
      <c r="C554" s="4">
        <v>45911</v>
      </c>
      <c r="D554" t="s">
        <v>241</v>
      </c>
      <c r="E554" t="s">
        <v>721</v>
      </c>
      <c r="F554" t="s">
        <v>70</v>
      </c>
    </row>
    <row r="555" spans="1:6">
      <c r="A555" t="s">
        <v>722</v>
      </c>
      <c r="B555" t="str">
        <f>"10673342253433421050"</f>
        <v>10673342253433421050</v>
      </c>
      <c r="C555" s="4">
        <v>45842</v>
      </c>
      <c r="D555" t="s">
        <v>241</v>
      </c>
      <c r="E555" t="s">
        <v>362</v>
      </c>
      <c r="F555" t="s">
        <v>333</v>
      </c>
    </row>
    <row r="556" spans="1:6">
      <c r="A556" t="s">
        <v>723</v>
      </c>
      <c r="B556" t="str">
        <f>"10673342253439388225"</f>
        <v>10673342253439388225</v>
      </c>
      <c r="C556" s="4">
        <v>45848</v>
      </c>
      <c r="D556" t="s">
        <v>241</v>
      </c>
      <c r="E556" t="s">
        <v>436</v>
      </c>
      <c r="F556" t="s">
        <v>419</v>
      </c>
    </row>
    <row r="557" spans="1:6">
      <c r="A557" t="s">
        <v>724</v>
      </c>
      <c r="B557" t="str">
        <f>"10673342253440873484"</f>
        <v>10673342253440873484</v>
      </c>
      <c r="C557" s="4">
        <v>45848</v>
      </c>
      <c r="D557" t="s">
        <v>241</v>
      </c>
      <c r="E557" t="s">
        <v>383</v>
      </c>
      <c r="F557" t="s">
        <v>355</v>
      </c>
    </row>
    <row r="558" spans="1:6">
      <c r="A558" t="s">
        <v>725</v>
      </c>
      <c r="B558" t="str">
        <f>"10677462254033114549"</f>
        <v>10677462254033114549</v>
      </c>
      <c r="C558" s="4">
        <v>45916</v>
      </c>
      <c r="D558" t="s">
        <v>241</v>
      </c>
      <c r="E558" t="s">
        <v>726</v>
      </c>
      <c r="F558" t="s">
        <v>70</v>
      </c>
    </row>
    <row r="559" spans="1:6">
      <c r="A559" t="s">
        <v>727</v>
      </c>
      <c r="B559" t="str">
        <f>"10677462254031473703"</f>
        <v>10677462254031473703</v>
      </c>
      <c r="C559" s="4">
        <v>45910</v>
      </c>
      <c r="D559" t="s">
        <v>241</v>
      </c>
      <c r="E559" t="s">
        <v>728</v>
      </c>
      <c r="F559" t="s">
        <v>708</v>
      </c>
    </row>
    <row r="560" spans="1:6">
      <c r="A560" t="s">
        <v>729</v>
      </c>
      <c r="B560" t="str">
        <f>"10677462254032561118"</f>
        <v>10677462254032561118</v>
      </c>
      <c r="C560" s="4">
        <v>45911</v>
      </c>
      <c r="D560" t="s">
        <v>241</v>
      </c>
      <c r="E560" t="s">
        <v>730</v>
      </c>
      <c r="F560" t="s">
        <v>711</v>
      </c>
    </row>
    <row r="561" spans="1:6">
      <c r="A561" t="s">
        <v>731</v>
      </c>
      <c r="B561" t="str">
        <f>"10673342253434075113"</f>
        <v>10673342253434075113</v>
      </c>
      <c r="C561" s="4">
        <v>45842</v>
      </c>
      <c r="D561" t="s">
        <v>241</v>
      </c>
      <c r="E561" t="s">
        <v>408</v>
      </c>
      <c r="F561" t="s">
        <v>333</v>
      </c>
    </row>
    <row r="562" spans="1:6">
      <c r="A562" t="s">
        <v>732</v>
      </c>
      <c r="B562" t="str">
        <f>"10673342253439587821"</f>
        <v>10673342253439587821</v>
      </c>
      <c r="C562" s="4">
        <v>45848</v>
      </c>
      <c r="D562" t="s">
        <v>241</v>
      </c>
      <c r="E562" t="s">
        <v>464</v>
      </c>
      <c r="F562" t="s">
        <v>419</v>
      </c>
    </row>
    <row r="563" spans="1:6">
      <c r="A563" t="s">
        <v>733</v>
      </c>
      <c r="B563" t="str">
        <f>"10673342253440146043"</f>
        <v>10673342253440146043</v>
      </c>
      <c r="C563" s="4">
        <v>45848</v>
      </c>
      <c r="D563" t="s">
        <v>241</v>
      </c>
      <c r="E563" t="s">
        <v>402</v>
      </c>
      <c r="F563" t="s">
        <v>355</v>
      </c>
    </row>
    <row r="564" spans="1:6">
      <c r="A564" t="s">
        <v>734</v>
      </c>
      <c r="B564" t="str">
        <f>"10677462254034851849"</f>
        <v>10677462254034851849</v>
      </c>
      <c r="C564" s="4">
        <v>45916</v>
      </c>
      <c r="D564" t="s">
        <v>241</v>
      </c>
      <c r="E564" t="s">
        <v>735</v>
      </c>
      <c r="F564" t="s">
        <v>717</v>
      </c>
    </row>
    <row r="565" spans="1:6">
      <c r="A565" t="s">
        <v>736</v>
      </c>
      <c r="B565" t="str">
        <f>"10677462254031116110"</f>
        <v>10677462254031116110</v>
      </c>
      <c r="C565" s="4">
        <v>45910</v>
      </c>
      <c r="D565" t="s">
        <v>241</v>
      </c>
      <c r="E565" t="s">
        <v>737</v>
      </c>
      <c r="F565" t="s">
        <v>738</v>
      </c>
    </row>
    <row r="566" spans="1:6">
      <c r="A566" t="s">
        <v>739</v>
      </c>
      <c r="B566" t="str">
        <f>"10673342253433502596"</f>
        <v>10673342253433502596</v>
      </c>
      <c r="C566" s="4">
        <v>45842</v>
      </c>
      <c r="D566" t="s">
        <v>241</v>
      </c>
      <c r="E566" t="s">
        <v>425</v>
      </c>
      <c r="F566" t="s">
        <v>333</v>
      </c>
    </row>
    <row r="567" spans="1:6">
      <c r="A567" t="s">
        <v>740</v>
      </c>
      <c r="B567" t="str">
        <f>"10673342253439546068"</f>
        <v>10673342253439546068</v>
      </c>
      <c r="C567" s="4">
        <v>45848</v>
      </c>
      <c r="D567" t="s">
        <v>241</v>
      </c>
      <c r="E567" t="s">
        <v>485</v>
      </c>
      <c r="F567" t="s">
        <v>419</v>
      </c>
    </row>
    <row r="568" spans="1:6">
      <c r="A568" t="s">
        <v>741</v>
      </c>
      <c r="B568" t="str">
        <f>"10673342253439937156"</f>
        <v>10673342253439937156</v>
      </c>
      <c r="C568" s="4">
        <v>45848</v>
      </c>
      <c r="D568" t="s">
        <v>241</v>
      </c>
      <c r="E568" t="s">
        <v>477</v>
      </c>
      <c r="F568" t="s">
        <v>355</v>
      </c>
    </row>
    <row r="569" spans="1:6">
      <c r="A569" t="s">
        <v>742</v>
      </c>
      <c r="B569" t="str">
        <f>"10677462254034014831"</f>
        <v>10677462254034014831</v>
      </c>
      <c r="C569" s="4">
        <v>45916</v>
      </c>
      <c r="D569" t="s">
        <v>241</v>
      </c>
      <c r="E569" t="s">
        <v>743</v>
      </c>
      <c r="F569" t="s">
        <v>717</v>
      </c>
    </row>
    <row r="570" spans="1:6">
      <c r="A570" t="s">
        <v>744</v>
      </c>
      <c r="B570" t="str">
        <f>"10677462254031941286"</f>
        <v>10677462254031941286</v>
      </c>
      <c r="C570" s="4">
        <v>45910</v>
      </c>
      <c r="D570" t="s">
        <v>241</v>
      </c>
      <c r="E570" t="s">
        <v>745</v>
      </c>
      <c r="F570" t="s">
        <v>708</v>
      </c>
    </row>
    <row r="571" spans="1:6">
      <c r="A571" t="s">
        <v>746</v>
      </c>
      <c r="B571" t="str">
        <f>"10677462254033866680"</f>
        <v>10677462254033866680</v>
      </c>
      <c r="C571" s="4">
        <v>45916</v>
      </c>
      <c r="D571" t="s">
        <v>241</v>
      </c>
      <c r="E571" t="s">
        <v>747</v>
      </c>
      <c r="F571" t="s">
        <v>70</v>
      </c>
    </row>
    <row r="572" spans="1:6">
      <c r="A572" t="s">
        <v>748</v>
      </c>
      <c r="B572" t="str">
        <f>"10677462254032156329"</f>
        <v>10677462254032156329</v>
      </c>
      <c r="C572" s="4">
        <v>45910</v>
      </c>
      <c r="D572" t="s">
        <v>241</v>
      </c>
      <c r="E572" t="s">
        <v>749</v>
      </c>
      <c r="F572" t="s">
        <v>711</v>
      </c>
    </row>
    <row r="573" spans="1:6">
      <c r="A573" t="s">
        <v>750</v>
      </c>
      <c r="B573" t="str">
        <f>"10677462254034136384"</f>
        <v>10677462254034136384</v>
      </c>
      <c r="C573" s="4">
        <v>45916</v>
      </c>
      <c r="D573" t="s">
        <v>241</v>
      </c>
      <c r="E573" t="s">
        <v>751</v>
      </c>
      <c r="F573" t="s">
        <v>717</v>
      </c>
    </row>
    <row r="574" spans="1:6">
      <c r="A574" t="s">
        <v>752</v>
      </c>
      <c r="B574" t="str">
        <f>"10677462254032008389"</f>
        <v>10677462254032008389</v>
      </c>
      <c r="C574" s="4">
        <v>45910</v>
      </c>
      <c r="D574" t="s">
        <v>241</v>
      </c>
      <c r="E574" t="s">
        <v>753</v>
      </c>
      <c r="F574" t="s">
        <v>711</v>
      </c>
    </row>
    <row r="575" spans="1:6">
      <c r="A575" t="s">
        <v>754</v>
      </c>
      <c r="B575" t="str">
        <f>"10677462254033961241"</f>
        <v>10677462254033961241</v>
      </c>
      <c r="C575" s="4">
        <v>45916</v>
      </c>
      <c r="D575" t="s">
        <v>241</v>
      </c>
      <c r="E575" t="s">
        <v>755</v>
      </c>
      <c r="F575" t="s">
        <v>70</v>
      </c>
    </row>
    <row r="576" spans="1:6">
      <c r="A576" t="s">
        <v>756</v>
      </c>
      <c r="B576" t="str">
        <f>"10677462254030490434"</f>
        <v>10677462254030490434</v>
      </c>
      <c r="C576" s="4">
        <v>45910</v>
      </c>
      <c r="D576" t="s">
        <v>241</v>
      </c>
      <c r="E576" t="s">
        <v>757</v>
      </c>
      <c r="F576" t="s">
        <v>738</v>
      </c>
    </row>
    <row r="577" spans="1:6">
      <c r="A577" t="s">
        <v>758</v>
      </c>
      <c r="B577" t="str">
        <f>"10677462254035212297"</f>
        <v>10677462254035212297</v>
      </c>
      <c r="C577" s="4">
        <v>45916</v>
      </c>
      <c r="D577" t="s">
        <v>241</v>
      </c>
      <c r="E577" t="s">
        <v>759</v>
      </c>
      <c r="F577" t="s">
        <v>365</v>
      </c>
    </row>
    <row r="578" spans="1:6">
      <c r="A578" t="s">
        <v>760</v>
      </c>
      <c r="B578" t="str">
        <f>"10677462254030337393"</f>
        <v>10677462254030337393</v>
      </c>
      <c r="C578" s="4">
        <v>45910</v>
      </c>
      <c r="D578" t="s">
        <v>241</v>
      </c>
      <c r="E578" t="s">
        <v>761</v>
      </c>
      <c r="F578" t="s">
        <v>738</v>
      </c>
    </row>
    <row r="579" spans="1:6">
      <c r="A579" t="s">
        <v>762</v>
      </c>
      <c r="B579" t="str">
        <f>"10677462254028998698"</f>
        <v>10677462254028998698</v>
      </c>
      <c r="C579" s="4">
        <v>45910</v>
      </c>
      <c r="D579" t="s">
        <v>241</v>
      </c>
      <c r="E579" t="s">
        <v>763</v>
      </c>
      <c r="F579" t="s">
        <v>764</v>
      </c>
    </row>
    <row r="580" spans="1:6">
      <c r="A580" t="s">
        <v>765</v>
      </c>
      <c r="B580" t="str">
        <f>"10677462254030325883"</f>
        <v>10677462254030325883</v>
      </c>
      <c r="C580" s="4">
        <v>45910</v>
      </c>
      <c r="D580" t="s">
        <v>241</v>
      </c>
      <c r="E580" t="s">
        <v>766</v>
      </c>
      <c r="F580" t="s">
        <v>738</v>
      </c>
    </row>
    <row r="581" spans="1:6">
      <c r="A581" t="s">
        <v>767</v>
      </c>
      <c r="B581" t="str">
        <f>"10677462254029153276"</f>
        <v>10677462254029153276</v>
      </c>
      <c r="C581" s="4">
        <v>45910</v>
      </c>
      <c r="D581" t="s">
        <v>241</v>
      </c>
      <c r="E581" t="s">
        <v>768</v>
      </c>
      <c r="F581" t="s">
        <v>764</v>
      </c>
    </row>
    <row r="582" spans="1:6">
      <c r="A582" t="s">
        <v>769</v>
      </c>
      <c r="B582" t="str">
        <f>"10677462254029964304"</f>
        <v>10677462254029964304</v>
      </c>
      <c r="C582" s="4">
        <v>45910</v>
      </c>
      <c r="D582" t="s">
        <v>241</v>
      </c>
      <c r="E582" t="s">
        <v>770</v>
      </c>
      <c r="F582" t="s">
        <v>764</v>
      </c>
    </row>
    <row r="583" spans="1:6">
      <c r="A583" t="s">
        <v>771</v>
      </c>
      <c r="B583" t="str">
        <f>"10677462254029259082"</f>
        <v>10677462254029259082</v>
      </c>
      <c r="C583" s="4">
        <v>45910</v>
      </c>
      <c r="D583" t="s">
        <v>241</v>
      </c>
      <c r="E583" t="s">
        <v>772</v>
      </c>
      <c r="F583" t="s">
        <v>764</v>
      </c>
    </row>
    <row r="584" spans="1:6">
      <c r="A584" t="s">
        <v>773</v>
      </c>
      <c r="B584" t="str">
        <f>"10673342253436263847"</f>
        <v>10673342253436263847</v>
      </c>
      <c r="C584" s="4">
        <v>45728</v>
      </c>
      <c r="D584" t="s">
        <v>241</v>
      </c>
      <c r="E584" t="s">
        <v>774</v>
      </c>
      <c r="F584" t="s">
        <v>49</v>
      </c>
    </row>
    <row r="585" spans="1:6">
      <c r="A585" t="s">
        <v>253</v>
      </c>
      <c r="B585" t="str">
        <f>"10673342253436883888"</f>
        <v>10673342253436883888</v>
      </c>
      <c r="C585" s="4">
        <v>45728</v>
      </c>
      <c r="D585" t="s">
        <v>241</v>
      </c>
      <c r="E585" t="s">
        <v>775</v>
      </c>
      <c r="F585" t="s">
        <v>559</v>
      </c>
    </row>
    <row r="586" spans="1:6">
      <c r="A586" t="s">
        <v>259</v>
      </c>
      <c r="B586" t="str">
        <f>"10673342253436739256"</f>
        <v>10673342253436739256</v>
      </c>
      <c r="C586" s="4">
        <v>45728</v>
      </c>
      <c r="D586" t="s">
        <v>241</v>
      </c>
      <c r="E586" t="s">
        <v>776</v>
      </c>
      <c r="F586" t="s">
        <v>559</v>
      </c>
    </row>
    <row r="587" spans="1:6">
      <c r="A587" t="s">
        <v>264</v>
      </c>
      <c r="B587" t="str">
        <f>"10673342253436377745"</f>
        <v>10673342253436377745</v>
      </c>
      <c r="C587" s="4">
        <v>45728</v>
      </c>
      <c r="D587" t="s">
        <v>241</v>
      </c>
      <c r="E587" t="s">
        <v>777</v>
      </c>
      <c r="F587" t="s">
        <v>559</v>
      </c>
    </row>
    <row r="588" spans="1:6">
      <c r="A588" t="s">
        <v>778</v>
      </c>
      <c r="B588" t="str">
        <f>"10673342253418254726"</f>
        <v>10673342253418254726</v>
      </c>
      <c r="C588" s="4">
        <v>45702</v>
      </c>
      <c r="D588" t="s">
        <v>99</v>
      </c>
      <c r="E588" t="s">
        <v>12</v>
      </c>
      <c r="F588" t="s">
        <v>12</v>
      </c>
    </row>
    <row r="589" spans="1:6">
      <c r="A589" t="s">
        <v>779</v>
      </c>
      <c r="B589" t="str">
        <f>"10673342253486737222"</f>
        <v>10673342253486737222</v>
      </c>
      <c r="C589" s="4">
        <v>45789</v>
      </c>
      <c r="D589" t="s">
        <v>241</v>
      </c>
      <c r="E589" t="s">
        <v>780</v>
      </c>
      <c r="F589" t="s">
        <v>781</v>
      </c>
    </row>
    <row r="590" spans="1:6">
      <c r="A590" t="s">
        <v>782</v>
      </c>
      <c r="B590" t="str">
        <f>"10673342253420510849"</f>
        <v>10673342253420510849</v>
      </c>
      <c r="C590" s="4">
        <v>45706</v>
      </c>
      <c r="D590" t="s">
        <v>241</v>
      </c>
      <c r="E590" t="s">
        <v>783</v>
      </c>
      <c r="F590" t="s">
        <v>784</v>
      </c>
    </row>
    <row r="591" spans="1:6">
      <c r="A591" t="s">
        <v>785</v>
      </c>
      <c r="B591" t="str">
        <f>"10673342253418266821"</f>
        <v>10673342253418266821</v>
      </c>
      <c r="C591" s="4">
        <v>45702</v>
      </c>
      <c r="D591" t="s">
        <v>99</v>
      </c>
      <c r="E591" t="s">
        <v>12</v>
      </c>
      <c r="F591" t="s">
        <v>12</v>
      </c>
    </row>
    <row r="592" spans="1:6">
      <c r="A592" t="s">
        <v>786</v>
      </c>
      <c r="B592" t="str">
        <f>"10673342253486936942"</f>
        <v>10673342253486936942</v>
      </c>
      <c r="C592" s="4">
        <v>45789</v>
      </c>
      <c r="D592" t="s">
        <v>99</v>
      </c>
      <c r="E592" t="s">
        <v>12</v>
      </c>
      <c r="F592" t="s">
        <v>12</v>
      </c>
    </row>
    <row r="593" spans="1:6">
      <c r="A593" t="s">
        <v>787</v>
      </c>
      <c r="B593" t="str">
        <f>"10673342253420827126"</f>
        <v>10673342253420827126</v>
      </c>
      <c r="C593" s="4">
        <v>45706</v>
      </c>
      <c r="D593" t="s">
        <v>241</v>
      </c>
      <c r="E593" t="s">
        <v>788</v>
      </c>
      <c r="F593" t="s">
        <v>784</v>
      </c>
    </row>
    <row r="594" spans="1:6">
      <c r="A594" t="s">
        <v>789</v>
      </c>
      <c r="B594" t="str">
        <f>"10673342253419085510"</f>
        <v>10673342253419085510</v>
      </c>
      <c r="C594" s="4">
        <v>45702</v>
      </c>
      <c r="D594" t="s">
        <v>241</v>
      </c>
      <c r="E594" t="s">
        <v>790</v>
      </c>
      <c r="F594" t="s">
        <v>791</v>
      </c>
    </row>
    <row r="595" spans="1:6">
      <c r="A595" t="s">
        <v>792</v>
      </c>
      <c r="B595" t="str">
        <f>"10673342253486845211"</f>
        <v>10673342253486845211</v>
      </c>
      <c r="C595" s="4">
        <v>45789</v>
      </c>
      <c r="D595" t="s">
        <v>241</v>
      </c>
      <c r="E595" t="s">
        <v>793</v>
      </c>
      <c r="F595" t="s">
        <v>781</v>
      </c>
    </row>
    <row r="596" spans="1:6">
      <c r="A596" t="s">
        <v>794</v>
      </c>
      <c r="B596" t="str">
        <f>"10673342253418226854"</f>
        <v>10673342253418226854</v>
      </c>
      <c r="C596" s="4">
        <v>45702</v>
      </c>
      <c r="D596" t="s">
        <v>99</v>
      </c>
      <c r="E596" t="s">
        <v>12</v>
      </c>
      <c r="F596" t="s">
        <v>12</v>
      </c>
    </row>
    <row r="597" spans="1:6">
      <c r="A597" t="s">
        <v>795</v>
      </c>
      <c r="B597" t="str">
        <f>"10673342253485537793"</f>
        <v>10673342253485537793</v>
      </c>
      <c r="C597" s="4">
        <v>45789</v>
      </c>
      <c r="D597" t="s">
        <v>241</v>
      </c>
      <c r="E597" t="s">
        <v>796</v>
      </c>
      <c r="F597" t="s">
        <v>797</v>
      </c>
    </row>
    <row r="598" spans="1:6">
      <c r="A598" t="s">
        <v>798</v>
      </c>
      <c r="B598" t="str">
        <f>"10673342253418144807"</f>
        <v>10673342253418144807</v>
      </c>
      <c r="C598" s="4">
        <v>45702</v>
      </c>
      <c r="D598" t="s">
        <v>99</v>
      </c>
      <c r="E598" t="s">
        <v>12</v>
      </c>
      <c r="F598" t="s">
        <v>12</v>
      </c>
    </row>
    <row r="599" spans="1:6">
      <c r="A599" t="s">
        <v>799</v>
      </c>
      <c r="B599" t="str">
        <f>"10673342253486486677"</f>
        <v>10673342253486486677</v>
      </c>
      <c r="C599" s="4">
        <v>45789</v>
      </c>
      <c r="D599" t="s">
        <v>241</v>
      </c>
      <c r="E599" t="s">
        <v>800</v>
      </c>
      <c r="F599" t="s">
        <v>781</v>
      </c>
    </row>
    <row r="600" spans="1:6">
      <c r="A600" t="s">
        <v>801</v>
      </c>
      <c r="B600" t="str">
        <f>"10673342253419066540"</f>
        <v>10673342253419066540</v>
      </c>
      <c r="C600" s="4">
        <v>45702</v>
      </c>
      <c r="D600" t="s">
        <v>241</v>
      </c>
      <c r="E600" t="s">
        <v>802</v>
      </c>
      <c r="F600" t="s">
        <v>791</v>
      </c>
    </row>
    <row r="601" spans="1:6">
      <c r="A601" t="s">
        <v>803</v>
      </c>
      <c r="B601" t="str">
        <f>"10673342253485765176"</f>
        <v>10673342253485765176</v>
      </c>
      <c r="C601" s="4">
        <v>45789</v>
      </c>
      <c r="D601" t="s">
        <v>241</v>
      </c>
      <c r="E601" t="s">
        <v>804</v>
      </c>
      <c r="F601" t="s">
        <v>781</v>
      </c>
    </row>
    <row r="602" spans="1:6">
      <c r="A602" t="s">
        <v>805</v>
      </c>
      <c r="B602" t="str">
        <f>"10673342253419057819"</f>
        <v>10673342253419057819</v>
      </c>
      <c r="C602" s="4">
        <v>45702</v>
      </c>
      <c r="D602" t="s">
        <v>99</v>
      </c>
      <c r="E602" t="s">
        <v>12</v>
      </c>
      <c r="F602" t="s">
        <v>12</v>
      </c>
    </row>
    <row r="603" spans="1:6">
      <c r="A603" t="s">
        <v>806</v>
      </c>
      <c r="B603" t="str">
        <f>"10673342253485506480"</f>
        <v>10673342253485506480</v>
      </c>
      <c r="C603" s="4">
        <v>45789</v>
      </c>
      <c r="D603" t="s">
        <v>241</v>
      </c>
      <c r="E603" t="s">
        <v>807</v>
      </c>
      <c r="F603" t="s">
        <v>797</v>
      </c>
    </row>
    <row r="604" spans="1:6">
      <c r="A604" t="s">
        <v>808</v>
      </c>
      <c r="B604" t="str">
        <f>"10673342253487517404"</f>
        <v>10673342253487517404</v>
      </c>
      <c r="C604" s="4">
        <v>45789</v>
      </c>
      <c r="D604" t="s">
        <v>99</v>
      </c>
      <c r="E604" t="s">
        <v>12</v>
      </c>
      <c r="F604" t="s">
        <v>12</v>
      </c>
    </row>
    <row r="605" spans="1:6">
      <c r="A605" t="s">
        <v>809</v>
      </c>
      <c r="B605" t="str">
        <f>"10673342253486998506"</f>
        <v>10673342253486998506</v>
      </c>
      <c r="C605" s="4">
        <v>45789</v>
      </c>
      <c r="D605" t="s">
        <v>99</v>
      </c>
      <c r="E605" t="s">
        <v>12</v>
      </c>
      <c r="F605" t="s">
        <v>12</v>
      </c>
    </row>
    <row r="606" spans="1:6">
      <c r="A606" t="s">
        <v>631</v>
      </c>
      <c r="B606" t="str">
        <f>"10673342253418254726"</f>
        <v>10673342253418254726</v>
      </c>
      <c r="C606" s="4">
        <v>45702</v>
      </c>
      <c r="D606" t="s">
        <v>99</v>
      </c>
      <c r="E606" t="s">
        <v>12</v>
      </c>
      <c r="F606" t="s">
        <v>12</v>
      </c>
    </row>
    <row r="607" spans="1:6">
      <c r="A607" t="s">
        <v>632</v>
      </c>
      <c r="B607" t="str">
        <f>"10673342253486737222"</f>
        <v>10673342253486737222</v>
      </c>
      <c r="C607" s="4">
        <v>45789</v>
      </c>
      <c r="D607" t="s">
        <v>241</v>
      </c>
      <c r="E607" t="s">
        <v>780</v>
      </c>
      <c r="F607" t="s">
        <v>781</v>
      </c>
    </row>
    <row r="608" spans="1:6">
      <c r="A608" t="s">
        <v>638</v>
      </c>
      <c r="B608" t="str">
        <f>"10673342253420510849"</f>
        <v>10673342253420510849</v>
      </c>
      <c r="C608" s="4">
        <v>45706</v>
      </c>
      <c r="D608" t="s">
        <v>241</v>
      </c>
      <c r="E608" t="s">
        <v>783</v>
      </c>
      <c r="F608" t="s">
        <v>784</v>
      </c>
    </row>
    <row r="609" spans="1:6">
      <c r="A609" t="s">
        <v>810</v>
      </c>
      <c r="B609" t="str">
        <f>"10673342253437634628"</f>
        <v>10673342253437634628</v>
      </c>
      <c r="C609" s="4">
        <v>45728</v>
      </c>
      <c r="D609" t="s">
        <v>241</v>
      </c>
      <c r="E609" t="s">
        <v>811</v>
      </c>
      <c r="F609" t="s">
        <v>561</v>
      </c>
    </row>
    <row r="610" spans="1:6">
      <c r="A610" t="s">
        <v>812</v>
      </c>
      <c r="B610" t="str">
        <f>"10673342253438124011"</f>
        <v>10673342253438124011</v>
      </c>
      <c r="C610" s="4">
        <v>45728</v>
      </c>
      <c r="D610" t="s">
        <v>99</v>
      </c>
      <c r="E610" t="s">
        <v>12</v>
      </c>
      <c r="F610" t="s">
        <v>12</v>
      </c>
    </row>
    <row r="611" spans="1:6">
      <c r="A611" t="s">
        <v>813</v>
      </c>
      <c r="B611" t="str">
        <f>"10677462254018656433"</f>
        <v>10677462254018656433</v>
      </c>
      <c r="C611" s="4">
        <v>45884</v>
      </c>
      <c r="D611" t="s">
        <v>241</v>
      </c>
      <c r="E611" t="s">
        <v>814</v>
      </c>
      <c r="F611" t="s">
        <v>815</v>
      </c>
    </row>
    <row r="612" spans="1:6">
      <c r="A612" t="s">
        <v>816</v>
      </c>
      <c r="B612" t="str">
        <f>"10677462254015604068"</f>
        <v>10677462254015604068</v>
      </c>
      <c r="C612" s="4">
        <v>45880</v>
      </c>
      <c r="D612" t="s">
        <v>241</v>
      </c>
      <c r="E612" t="s">
        <v>817</v>
      </c>
      <c r="F612" t="s">
        <v>818</v>
      </c>
    </row>
    <row r="613" spans="1:6">
      <c r="A613" t="s">
        <v>819</v>
      </c>
      <c r="B613" t="str">
        <f>"10677462254015604068"</f>
        <v>10677462254015604068</v>
      </c>
      <c r="C613" s="4">
        <v>45880</v>
      </c>
      <c r="D613" t="s">
        <v>241</v>
      </c>
      <c r="E613" t="s">
        <v>817</v>
      </c>
      <c r="F613" t="s">
        <v>818</v>
      </c>
    </row>
    <row r="614" spans="1:6">
      <c r="A614" t="s">
        <v>820</v>
      </c>
      <c r="B614" t="str">
        <f>"10677462254021233645"</f>
        <v>10677462254021233645</v>
      </c>
      <c r="C614" s="4">
        <v>45890</v>
      </c>
      <c r="D614" t="s">
        <v>241</v>
      </c>
      <c r="E614" t="s">
        <v>821</v>
      </c>
      <c r="F614" t="s">
        <v>822</v>
      </c>
    </row>
    <row r="615" spans="1:6">
      <c r="A615" t="s">
        <v>823</v>
      </c>
      <c r="B615" t="str">
        <f>"10677462254028714290"</f>
        <v>10677462254028714290</v>
      </c>
      <c r="C615" s="4">
        <v>45904</v>
      </c>
      <c r="D615" t="s">
        <v>241</v>
      </c>
      <c r="E615" t="s">
        <v>824</v>
      </c>
      <c r="F615" t="s">
        <v>825</v>
      </c>
    </row>
    <row r="616" spans="1:6">
      <c r="A616" t="s">
        <v>826</v>
      </c>
      <c r="B616" t="str">
        <f>"10677462254017364483"</f>
        <v>10677462254017364483</v>
      </c>
      <c r="C616" s="4">
        <v>45884</v>
      </c>
      <c r="D616" t="s">
        <v>241</v>
      </c>
      <c r="E616" t="s">
        <v>827</v>
      </c>
      <c r="F616" t="s">
        <v>828</v>
      </c>
    </row>
    <row r="617" spans="1:6">
      <c r="A617" t="s">
        <v>829</v>
      </c>
      <c r="B617" t="str">
        <f>"10677462254015322518"</f>
        <v>10677462254015322518</v>
      </c>
      <c r="C617" s="4">
        <v>45880</v>
      </c>
      <c r="D617" t="s">
        <v>241</v>
      </c>
      <c r="E617" t="s">
        <v>830</v>
      </c>
      <c r="F617" t="s">
        <v>67</v>
      </c>
    </row>
    <row r="618" spans="1:6">
      <c r="A618" t="s">
        <v>831</v>
      </c>
      <c r="B618" t="str">
        <f>"10677462254015322518"</f>
        <v>10677462254015322518</v>
      </c>
      <c r="C618" s="4">
        <v>45880</v>
      </c>
      <c r="D618" t="s">
        <v>241</v>
      </c>
      <c r="E618" t="s">
        <v>830</v>
      </c>
      <c r="F618" t="s">
        <v>67</v>
      </c>
    </row>
    <row r="619" spans="1:6">
      <c r="A619" t="s">
        <v>832</v>
      </c>
      <c r="B619" t="str">
        <f>"10677462254020884677"</f>
        <v>10677462254020884677</v>
      </c>
      <c r="C619" s="4">
        <v>45890</v>
      </c>
      <c r="D619" t="s">
        <v>99</v>
      </c>
      <c r="E619" t="s">
        <v>12</v>
      </c>
      <c r="F619" t="s">
        <v>12</v>
      </c>
    </row>
    <row r="620" spans="1:6">
      <c r="A620" t="s">
        <v>833</v>
      </c>
      <c r="B620" t="str">
        <f>"10677462254027311788"</f>
        <v>10677462254027311788</v>
      </c>
      <c r="C620" s="4">
        <v>45904</v>
      </c>
      <c r="D620" t="s">
        <v>241</v>
      </c>
      <c r="E620" t="s">
        <v>834</v>
      </c>
      <c r="F620" t="s">
        <v>825</v>
      </c>
    </row>
    <row r="621" spans="1:6">
      <c r="A621" t="s">
        <v>835</v>
      </c>
      <c r="B621" t="str">
        <f>"10677462254018091592"</f>
        <v>10677462254018091592</v>
      </c>
      <c r="C621" s="4">
        <v>45884</v>
      </c>
      <c r="D621" t="s">
        <v>241</v>
      </c>
      <c r="E621" t="s">
        <v>836</v>
      </c>
      <c r="F621" t="s">
        <v>815</v>
      </c>
    </row>
    <row r="622" spans="1:6">
      <c r="A622" t="s">
        <v>837</v>
      </c>
      <c r="B622" t="str">
        <f>"10677462254027536097"</f>
        <v>10677462254027536097</v>
      </c>
      <c r="C622" s="4">
        <v>45904</v>
      </c>
      <c r="D622" t="s">
        <v>241</v>
      </c>
      <c r="E622" t="s">
        <v>838</v>
      </c>
      <c r="F622" t="s">
        <v>825</v>
      </c>
    </row>
    <row r="623" spans="1:6">
      <c r="A623" t="s">
        <v>839</v>
      </c>
      <c r="B623" t="str">
        <f>"10677462254017738320"</f>
        <v>10677462254017738320</v>
      </c>
      <c r="C623" s="4">
        <v>45884</v>
      </c>
      <c r="D623" t="s">
        <v>241</v>
      </c>
      <c r="E623" t="s">
        <v>840</v>
      </c>
      <c r="F623" t="s">
        <v>828</v>
      </c>
    </row>
    <row r="624" spans="1:6">
      <c r="A624" t="s">
        <v>841</v>
      </c>
      <c r="B624" t="str">
        <f>"10677462254028156778"</f>
        <v>10677462254028156778</v>
      </c>
      <c r="C624" s="4">
        <v>45904</v>
      </c>
      <c r="D624" t="s">
        <v>241</v>
      </c>
      <c r="E624" t="s">
        <v>842</v>
      </c>
      <c r="F624" t="s">
        <v>825</v>
      </c>
    </row>
    <row r="625" spans="1:6">
      <c r="A625" t="s">
        <v>843</v>
      </c>
      <c r="B625" t="str">
        <f>"10677462254017642811"</f>
        <v>10677462254017642811</v>
      </c>
      <c r="C625" s="4">
        <v>45884</v>
      </c>
      <c r="D625" t="s">
        <v>241</v>
      </c>
      <c r="E625" t="s">
        <v>844</v>
      </c>
      <c r="F625" t="s">
        <v>828</v>
      </c>
    </row>
    <row r="626" spans="1:6">
      <c r="A626" t="s">
        <v>845</v>
      </c>
      <c r="B626" t="str">
        <f>"10677462254017322094"</f>
        <v>10677462254017322094</v>
      </c>
      <c r="C626" s="4">
        <v>45884</v>
      </c>
      <c r="D626" t="s">
        <v>241</v>
      </c>
      <c r="E626" t="s">
        <v>846</v>
      </c>
      <c r="F626" t="s">
        <v>828</v>
      </c>
    </row>
    <row r="627" spans="1:6">
      <c r="A627" t="s">
        <v>819</v>
      </c>
      <c r="B627" t="str">
        <f>"10677462254015604068"</f>
        <v>10677462254015604068</v>
      </c>
      <c r="C627" s="4">
        <v>45880</v>
      </c>
      <c r="D627" t="s">
        <v>241</v>
      </c>
      <c r="E627" t="s">
        <v>817</v>
      </c>
      <c r="F627" t="s">
        <v>818</v>
      </c>
    </row>
    <row r="628" spans="1:6">
      <c r="A628" t="s">
        <v>358</v>
      </c>
      <c r="B628" t="str">
        <f>"10677462254005728740"</f>
        <v>10677462254005728740</v>
      </c>
      <c r="C628" s="4">
        <v>45866</v>
      </c>
      <c r="D628" t="s">
        <v>241</v>
      </c>
      <c r="E628" t="s">
        <v>359</v>
      </c>
      <c r="F628" t="s">
        <v>360</v>
      </c>
    </row>
    <row r="629" spans="1:6">
      <c r="A629" t="s">
        <v>831</v>
      </c>
      <c r="B629" t="str">
        <f>"10677462254015322518"</f>
        <v>10677462254015322518</v>
      </c>
      <c r="C629" s="4">
        <v>45880</v>
      </c>
      <c r="D629" t="s">
        <v>241</v>
      </c>
      <c r="E629" t="s">
        <v>830</v>
      </c>
      <c r="F629" t="s">
        <v>67</v>
      </c>
    </row>
    <row r="630" spans="1:6">
      <c r="A630" t="s">
        <v>387</v>
      </c>
      <c r="B630" t="str">
        <f>"10677462254005910077"</f>
        <v>10677462254005910077</v>
      </c>
      <c r="C630" s="4">
        <v>45866</v>
      </c>
      <c r="D630" t="s">
        <v>241</v>
      </c>
      <c r="E630" t="s">
        <v>388</v>
      </c>
      <c r="F630" t="s">
        <v>389</v>
      </c>
    </row>
    <row r="631" spans="1:6">
      <c r="A631" t="s">
        <v>405</v>
      </c>
      <c r="B631" t="str">
        <f>"10677462254004665508"</f>
        <v>10677462254004665508</v>
      </c>
      <c r="C631" s="4">
        <v>45866</v>
      </c>
      <c r="D631" t="s">
        <v>241</v>
      </c>
      <c r="E631" t="s">
        <v>406</v>
      </c>
      <c r="F631" t="s">
        <v>360</v>
      </c>
    </row>
    <row r="632" spans="1:6">
      <c r="A632" t="s">
        <v>422</v>
      </c>
      <c r="B632" t="str">
        <f>"10677462254006064676"</f>
        <v>10677462254006064676</v>
      </c>
      <c r="C632" s="4">
        <v>45866</v>
      </c>
      <c r="D632" t="s">
        <v>241</v>
      </c>
      <c r="E632" t="s">
        <v>423</v>
      </c>
      <c r="F632" t="s">
        <v>389</v>
      </c>
    </row>
    <row r="633" spans="1:6">
      <c r="A633" t="s">
        <v>439</v>
      </c>
      <c r="B633" t="str">
        <f>"10677462254005857117"</f>
        <v>10677462254005857117</v>
      </c>
      <c r="C633" s="4">
        <v>45866</v>
      </c>
      <c r="D633" t="s">
        <v>241</v>
      </c>
      <c r="E633" t="s">
        <v>440</v>
      </c>
      <c r="F633" t="s">
        <v>389</v>
      </c>
    </row>
    <row r="634" spans="1:6">
      <c r="A634" t="s">
        <v>455</v>
      </c>
      <c r="B634" t="str">
        <f>"10677462254005799362"</f>
        <v>10677462254005799362</v>
      </c>
      <c r="C634" s="4">
        <v>45866</v>
      </c>
      <c r="D634" t="s">
        <v>241</v>
      </c>
      <c r="E634" t="s">
        <v>456</v>
      </c>
      <c r="F634" t="s">
        <v>360</v>
      </c>
    </row>
    <row r="635" spans="1:6">
      <c r="A635" t="s">
        <v>467</v>
      </c>
      <c r="B635" t="str">
        <f>"10677462254005367217"</f>
        <v>10677462254005367217</v>
      </c>
      <c r="C635" s="4">
        <v>45866</v>
      </c>
      <c r="D635" t="s">
        <v>241</v>
      </c>
      <c r="E635" t="s">
        <v>468</v>
      </c>
      <c r="F635" t="s">
        <v>360</v>
      </c>
    </row>
    <row r="636" spans="1:6">
      <c r="A636" t="s">
        <v>663</v>
      </c>
      <c r="B636" t="str">
        <f>"10673342253438295304"</f>
        <v>10673342253438295304</v>
      </c>
      <c r="C636" s="4">
        <v>45729</v>
      </c>
      <c r="D636" t="s">
        <v>99</v>
      </c>
      <c r="E636" t="s">
        <v>12</v>
      </c>
      <c r="F636" t="s">
        <v>12</v>
      </c>
    </row>
    <row r="637" spans="1:6">
      <c r="A637" t="s">
        <v>847</v>
      </c>
      <c r="B637" t="str">
        <f>"10673342253439274734"</f>
        <v>10673342253439274734</v>
      </c>
      <c r="C637" s="4">
        <v>45729</v>
      </c>
      <c r="D637" t="s">
        <v>241</v>
      </c>
      <c r="E637" t="s">
        <v>848</v>
      </c>
      <c r="F637" t="s">
        <v>692</v>
      </c>
    </row>
    <row r="638" spans="1:6">
      <c r="A638" t="s">
        <v>620</v>
      </c>
      <c r="B638" t="str">
        <f>"10673342253438628389"</f>
        <v>10673342253438628389</v>
      </c>
      <c r="C638" s="4">
        <v>45729</v>
      </c>
      <c r="D638" t="s">
        <v>241</v>
      </c>
      <c r="E638" t="s">
        <v>849</v>
      </c>
      <c r="F638" t="s">
        <v>850</v>
      </c>
    </row>
    <row r="639" spans="1:6">
      <c r="A639" t="s">
        <v>623</v>
      </c>
      <c r="B639" t="str">
        <f>"10673342253439264909"</f>
        <v>10673342253439264909</v>
      </c>
      <c r="C639" s="4">
        <v>45729</v>
      </c>
      <c r="D639" t="s">
        <v>241</v>
      </c>
      <c r="E639" t="s">
        <v>851</v>
      </c>
      <c r="F639" t="s">
        <v>850</v>
      </c>
    </row>
    <row r="640" spans="1:6">
      <c r="A640" t="s">
        <v>624</v>
      </c>
      <c r="B640" t="str">
        <f>"10673342253438644945"</f>
        <v>10673342253438644945</v>
      </c>
      <c r="C640" s="4">
        <v>45729</v>
      </c>
      <c r="D640" t="s">
        <v>241</v>
      </c>
      <c r="E640" t="s">
        <v>852</v>
      </c>
      <c r="F640" t="s">
        <v>850</v>
      </c>
    </row>
    <row r="641" spans="1:6">
      <c r="A641" t="s">
        <v>100</v>
      </c>
      <c r="B641" t="str">
        <f>"10673342253438454801"</f>
        <v>10673342253438454801</v>
      </c>
      <c r="C641" s="4">
        <v>45729</v>
      </c>
      <c r="D641" t="s">
        <v>99</v>
      </c>
      <c r="E641" t="s">
        <v>12</v>
      </c>
      <c r="F641" t="s">
        <v>12</v>
      </c>
    </row>
    <row r="642" spans="1:6">
      <c r="A642" t="s">
        <v>626</v>
      </c>
      <c r="B642" t="str">
        <f>"10673342253438619606"</f>
        <v>10673342253438619606</v>
      </c>
      <c r="C642" s="4">
        <v>45729</v>
      </c>
      <c r="D642" t="s">
        <v>241</v>
      </c>
      <c r="E642" t="s">
        <v>853</v>
      </c>
      <c r="F642" t="s">
        <v>850</v>
      </c>
    </row>
    <row r="643" spans="1:6">
      <c r="A643" t="s">
        <v>628</v>
      </c>
      <c r="B643" t="str">
        <f>"10673342253438559670"</f>
        <v>10673342253438559670</v>
      </c>
      <c r="C643" s="4">
        <v>45729</v>
      </c>
      <c r="D643" t="s">
        <v>99</v>
      </c>
      <c r="E643" t="s">
        <v>12</v>
      </c>
      <c r="F643" t="s">
        <v>12</v>
      </c>
    </row>
    <row r="644" spans="1:6">
      <c r="A644" t="s">
        <v>240</v>
      </c>
      <c r="B644" t="str">
        <f>"10673342253464186142"</f>
        <v>10673342253464186142</v>
      </c>
      <c r="C644" s="4">
        <v>45761</v>
      </c>
      <c r="D644" t="s">
        <v>241</v>
      </c>
      <c r="E644" t="s">
        <v>854</v>
      </c>
      <c r="F644" t="s">
        <v>855</v>
      </c>
    </row>
    <row r="645" spans="1:6">
      <c r="A645" t="s">
        <v>856</v>
      </c>
      <c r="B645" t="str">
        <f>"10673342253464077335"</f>
        <v>10673342253464077335</v>
      </c>
      <c r="C645" s="4">
        <v>45761</v>
      </c>
      <c r="D645" t="s">
        <v>241</v>
      </c>
      <c r="E645" t="s">
        <v>857</v>
      </c>
      <c r="F645" t="s">
        <v>665</v>
      </c>
    </row>
    <row r="646" spans="1:6">
      <c r="A646" t="s">
        <v>858</v>
      </c>
      <c r="B646" t="str">
        <f>"10673342253463623778"</f>
        <v>10673342253463623778</v>
      </c>
      <c r="C646" s="4">
        <v>45761</v>
      </c>
      <c r="D646" t="s">
        <v>241</v>
      </c>
      <c r="E646" t="s">
        <v>859</v>
      </c>
      <c r="F646" t="s">
        <v>665</v>
      </c>
    </row>
    <row r="647" spans="1:6">
      <c r="A647" t="s">
        <v>812</v>
      </c>
      <c r="B647" t="str">
        <f>"10673342253464259255"</f>
        <v>10673342253464259255</v>
      </c>
      <c r="C647" s="4">
        <v>45761</v>
      </c>
      <c r="D647" t="s">
        <v>241</v>
      </c>
      <c r="E647" t="s">
        <v>860</v>
      </c>
      <c r="F647" t="s">
        <v>855</v>
      </c>
    </row>
    <row r="648" spans="1:6">
      <c r="A648" t="s">
        <v>249</v>
      </c>
      <c r="B648" t="str">
        <f>"10673342253464796498"</f>
        <v>10673342253464796498</v>
      </c>
      <c r="C648" s="4">
        <v>45761</v>
      </c>
      <c r="D648" t="s">
        <v>241</v>
      </c>
      <c r="E648" t="s">
        <v>861</v>
      </c>
      <c r="F648" t="s">
        <v>855</v>
      </c>
    </row>
    <row r="649" spans="1:6">
      <c r="A649" t="s">
        <v>251</v>
      </c>
      <c r="B649" t="str">
        <f>"10673342253465123268"</f>
        <v>10673342253465123268</v>
      </c>
      <c r="C649" s="4">
        <v>45761</v>
      </c>
      <c r="D649" t="s">
        <v>241</v>
      </c>
      <c r="E649" t="s">
        <v>862</v>
      </c>
      <c r="F649" t="s">
        <v>667</v>
      </c>
    </row>
    <row r="650" spans="1:6">
      <c r="A650" t="s">
        <v>562</v>
      </c>
      <c r="B650" t="str">
        <f>"10673342253464818688"</f>
        <v>10673342253464818688</v>
      </c>
      <c r="C650" s="4">
        <v>45761</v>
      </c>
      <c r="D650" t="s">
        <v>241</v>
      </c>
      <c r="E650" t="s">
        <v>863</v>
      </c>
      <c r="F650" t="s">
        <v>855</v>
      </c>
    </row>
    <row r="651" spans="1:6">
      <c r="A651" t="s">
        <v>864</v>
      </c>
      <c r="B651" t="str">
        <f>"10673342253490522308"</f>
        <v>10673342253490522308</v>
      </c>
      <c r="C651" s="4">
        <v>45790</v>
      </c>
      <c r="D651" t="s">
        <v>241</v>
      </c>
      <c r="E651" t="s">
        <v>865</v>
      </c>
      <c r="F651" t="s">
        <v>866</v>
      </c>
    </row>
    <row r="652" spans="1:6">
      <c r="A652" t="s">
        <v>867</v>
      </c>
      <c r="B652" t="str">
        <f>"10673342253490965064"</f>
        <v>10673342253490965064</v>
      </c>
      <c r="C652" s="4">
        <v>45790</v>
      </c>
      <c r="D652" t="s">
        <v>241</v>
      </c>
      <c r="E652" t="s">
        <v>868</v>
      </c>
      <c r="F652" t="s">
        <v>869</v>
      </c>
    </row>
    <row r="653" spans="1:6">
      <c r="A653" t="s">
        <v>870</v>
      </c>
      <c r="B653" t="str">
        <f>"10673342253490920338"</f>
        <v>10673342253490920338</v>
      </c>
      <c r="C653" s="4">
        <v>45790</v>
      </c>
      <c r="D653" t="s">
        <v>241</v>
      </c>
      <c r="E653" t="s">
        <v>871</v>
      </c>
      <c r="F653" t="s">
        <v>869</v>
      </c>
    </row>
    <row r="654" spans="1:6">
      <c r="A654" t="s">
        <v>872</v>
      </c>
      <c r="B654" t="str">
        <f>"10673342253490214182"</f>
        <v>10673342253490214182</v>
      </c>
      <c r="C654" s="4">
        <v>45790</v>
      </c>
      <c r="D654" t="s">
        <v>241</v>
      </c>
      <c r="E654" t="s">
        <v>873</v>
      </c>
      <c r="F654" t="s">
        <v>866</v>
      </c>
    </row>
    <row r="655" spans="1:6">
      <c r="A655" t="s">
        <v>874</v>
      </c>
      <c r="B655" t="str">
        <f>"10673342253490704554"</f>
        <v>10673342253490704554</v>
      </c>
      <c r="C655" s="4">
        <v>45790</v>
      </c>
      <c r="D655" t="s">
        <v>241</v>
      </c>
      <c r="E655" t="s">
        <v>875</v>
      </c>
      <c r="F655" t="s">
        <v>869</v>
      </c>
    </row>
    <row r="656" spans="1:6">
      <c r="A656" t="s">
        <v>876</v>
      </c>
      <c r="B656" t="str">
        <f>"10673342253490663351"</f>
        <v>10673342253490663351</v>
      </c>
      <c r="C656" s="4">
        <v>45790</v>
      </c>
      <c r="D656" t="s">
        <v>241</v>
      </c>
      <c r="E656" t="s">
        <v>877</v>
      </c>
      <c r="F656" t="s">
        <v>866</v>
      </c>
    </row>
    <row r="657" spans="1:6">
      <c r="A657" t="s">
        <v>878</v>
      </c>
      <c r="B657" t="str">
        <f>"10673342253490139016"</f>
        <v>10673342253490139016</v>
      </c>
      <c r="C657" s="4">
        <v>45790</v>
      </c>
      <c r="D657" t="s">
        <v>241</v>
      </c>
      <c r="E657" t="s">
        <v>879</v>
      </c>
      <c r="F657" t="s">
        <v>880</v>
      </c>
    </row>
    <row r="658" spans="1:6">
      <c r="A658" t="s">
        <v>881</v>
      </c>
      <c r="B658" t="str">
        <f>"10673342253490150257"</f>
        <v>10673342253490150257</v>
      </c>
      <c r="C658" s="4">
        <v>45790</v>
      </c>
      <c r="D658" t="s">
        <v>241</v>
      </c>
      <c r="E658" t="s">
        <v>882</v>
      </c>
      <c r="F658" t="s">
        <v>866</v>
      </c>
    </row>
    <row r="659" spans="1:6">
      <c r="A659" t="s">
        <v>883</v>
      </c>
      <c r="B659" t="str">
        <f>"10673342253489671591"</f>
        <v>10673342253489671591</v>
      </c>
      <c r="C659" s="4">
        <v>45790</v>
      </c>
      <c r="D659" t="s">
        <v>241</v>
      </c>
      <c r="E659" t="s">
        <v>884</v>
      </c>
      <c r="F659" t="s">
        <v>880</v>
      </c>
    </row>
    <row r="660" spans="1:6">
      <c r="A660" t="s">
        <v>885</v>
      </c>
      <c r="B660" t="str">
        <f>"10673342253489940703"</f>
        <v>10673342253489940703</v>
      </c>
      <c r="C660" s="4">
        <v>45790</v>
      </c>
      <c r="D660" t="s">
        <v>241</v>
      </c>
      <c r="E660" t="s">
        <v>886</v>
      </c>
      <c r="F660" t="s">
        <v>880</v>
      </c>
    </row>
    <row r="661" spans="1:6">
      <c r="A661" t="s">
        <v>887</v>
      </c>
      <c r="B661" t="str">
        <f>"10673342253489896429"</f>
        <v>10673342253489896429</v>
      </c>
      <c r="C661" s="4">
        <v>45790</v>
      </c>
      <c r="D661" t="s">
        <v>241</v>
      </c>
      <c r="E661" t="s">
        <v>888</v>
      </c>
      <c r="F661" t="s">
        <v>880</v>
      </c>
    </row>
    <row r="662" spans="1:6">
      <c r="A662" t="s">
        <v>889</v>
      </c>
      <c r="B662" t="str">
        <f>"10673342253488491115"</f>
        <v>10673342253488491115</v>
      </c>
      <c r="C662" s="4">
        <v>45790</v>
      </c>
      <c r="D662" t="s">
        <v>241</v>
      </c>
      <c r="E662" t="s">
        <v>890</v>
      </c>
      <c r="F662" t="s">
        <v>891</v>
      </c>
    </row>
    <row r="663" spans="1:6">
      <c r="A663" t="s">
        <v>892</v>
      </c>
      <c r="B663" t="str">
        <f>"10673342253488987811"</f>
        <v>10673342253488987811</v>
      </c>
      <c r="C663" s="4">
        <v>45790</v>
      </c>
      <c r="D663" t="s">
        <v>241</v>
      </c>
      <c r="E663" t="s">
        <v>893</v>
      </c>
      <c r="F663" t="s">
        <v>891</v>
      </c>
    </row>
    <row r="664" spans="1:6">
      <c r="A664" t="s">
        <v>894</v>
      </c>
      <c r="B664" t="str">
        <f>"10673342253488959362"</f>
        <v>10673342253488959362</v>
      </c>
      <c r="C664" s="4">
        <v>45790</v>
      </c>
      <c r="D664" t="s">
        <v>241</v>
      </c>
      <c r="E664" t="s">
        <v>895</v>
      </c>
      <c r="F664" t="s">
        <v>891</v>
      </c>
    </row>
    <row r="665" spans="1:6">
      <c r="A665" t="s">
        <v>896</v>
      </c>
      <c r="B665" t="str">
        <f>"10673342253488236751"</f>
        <v>10673342253488236751</v>
      </c>
      <c r="C665" s="4">
        <v>45790</v>
      </c>
      <c r="D665" t="s">
        <v>99</v>
      </c>
      <c r="E665" t="s">
        <v>12</v>
      </c>
      <c r="F665" t="s">
        <v>12</v>
      </c>
    </row>
    <row r="666" spans="1:6">
      <c r="A666" t="s">
        <v>897</v>
      </c>
      <c r="B666" t="str">
        <f>"10673342253488357958"</f>
        <v>10673342253488357958</v>
      </c>
      <c r="C666" s="4">
        <v>45790</v>
      </c>
      <c r="D666" t="s">
        <v>241</v>
      </c>
      <c r="E666" t="s">
        <v>898</v>
      </c>
      <c r="F666" t="s">
        <v>891</v>
      </c>
    </row>
    <row r="667" spans="1:6">
      <c r="A667" t="s">
        <v>899</v>
      </c>
      <c r="B667" t="str">
        <f>"10673342253491112723"</f>
        <v>10673342253491112723</v>
      </c>
      <c r="C667" s="4">
        <v>45790</v>
      </c>
      <c r="D667" t="s">
        <v>241</v>
      </c>
      <c r="E667" t="s">
        <v>900</v>
      </c>
      <c r="F667" t="s">
        <v>869</v>
      </c>
    </row>
    <row r="668" spans="1:6">
      <c r="A668" t="s">
        <v>901</v>
      </c>
      <c r="B668" t="str">
        <f>"10673342253491536345"</f>
        <v>10673342253491536345</v>
      </c>
      <c r="C668" s="4">
        <v>45790</v>
      </c>
      <c r="D668" t="s">
        <v>241</v>
      </c>
      <c r="E668" t="s">
        <v>902</v>
      </c>
      <c r="F668" t="s">
        <v>903</v>
      </c>
    </row>
    <row r="669" spans="1:6">
      <c r="A669" t="s">
        <v>904</v>
      </c>
      <c r="B669" t="str">
        <f>"10673342253443440236"</f>
        <v>10673342253443440236</v>
      </c>
      <c r="C669" s="4">
        <v>45852</v>
      </c>
      <c r="D669" t="s">
        <v>241</v>
      </c>
      <c r="E669" t="s">
        <v>905</v>
      </c>
      <c r="F669" t="s">
        <v>906</v>
      </c>
    </row>
    <row r="670" spans="1:6">
      <c r="A670" t="s">
        <v>907</v>
      </c>
      <c r="B670" t="str">
        <f>"10673342253441443173"</f>
        <v>10673342253441443173</v>
      </c>
      <c r="C670" s="4">
        <v>45852</v>
      </c>
      <c r="D670" t="s">
        <v>241</v>
      </c>
      <c r="E670" t="s">
        <v>908</v>
      </c>
      <c r="F670" t="s">
        <v>909</v>
      </c>
    </row>
    <row r="671" spans="1:6">
      <c r="A671" t="s">
        <v>910</v>
      </c>
      <c r="B671" t="str">
        <f>"10673342253441232342"</f>
        <v>10673342253441232342</v>
      </c>
      <c r="C671" s="4">
        <v>45852</v>
      </c>
      <c r="D671" t="s">
        <v>241</v>
      </c>
      <c r="E671" t="s">
        <v>911</v>
      </c>
      <c r="F671" t="s">
        <v>909</v>
      </c>
    </row>
    <row r="672" spans="1:6">
      <c r="A672" t="s">
        <v>912</v>
      </c>
      <c r="B672" t="str">
        <f>"10673342253442080481"</f>
        <v>10673342253442080481</v>
      </c>
      <c r="C672" s="4">
        <v>45852</v>
      </c>
      <c r="D672" t="s">
        <v>241</v>
      </c>
      <c r="E672" t="s">
        <v>913</v>
      </c>
      <c r="F672" t="s">
        <v>909</v>
      </c>
    </row>
    <row r="673" spans="1:6">
      <c r="A673" t="s">
        <v>914</v>
      </c>
      <c r="B673" t="str">
        <f>"10673342253443940603"</f>
        <v>10673342253443940603</v>
      </c>
      <c r="C673" s="4">
        <v>45852</v>
      </c>
      <c r="D673" t="s">
        <v>241</v>
      </c>
      <c r="E673" t="s">
        <v>915</v>
      </c>
      <c r="F673" t="s">
        <v>906</v>
      </c>
    </row>
    <row r="674" spans="1:6">
      <c r="A674" t="s">
        <v>916</v>
      </c>
      <c r="B674" t="str">
        <f>"10673342253441598657"</f>
        <v>10673342253441598657</v>
      </c>
      <c r="C674" s="4">
        <v>45852</v>
      </c>
      <c r="D674" t="s">
        <v>241</v>
      </c>
      <c r="E674" t="s">
        <v>917</v>
      </c>
      <c r="F674" t="s">
        <v>909</v>
      </c>
    </row>
    <row r="675" spans="1:6">
      <c r="A675" t="s">
        <v>918</v>
      </c>
      <c r="B675" t="str">
        <f>"10673342253443416084"</f>
        <v>10673342253443416084</v>
      </c>
      <c r="C675" s="4">
        <v>45852</v>
      </c>
      <c r="D675" t="s">
        <v>241</v>
      </c>
      <c r="E675" t="s">
        <v>919</v>
      </c>
      <c r="F675" t="s">
        <v>906</v>
      </c>
    </row>
    <row r="676" spans="1:6">
      <c r="A676" t="s">
        <v>920</v>
      </c>
      <c r="B676" t="str">
        <f>"10673342253444439959"</f>
        <v>10673342253444439959</v>
      </c>
      <c r="C676" s="4">
        <v>45852</v>
      </c>
      <c r="D676" t="s">
        <v>241</v>
      </c>
      <c r="E676" t="s">
        <v>921</v>
      </c>
      <c r="F676" t="s">
        <v>922</v>
      </c>
    </row>
    <row r="677" spans="1:6">
      <c r="A677" t="s">
        <v>923</v>
      </c>
      <c r="B677" t="str">
        <f>"10673342253443391588"</f>
        <v>10673342253443391588</v>
      </c>
      <c r="C677" s="4">
        <v>45852</v>
      </c>
      <c r="D677" t="s">
        <v>241</v>
      </c>
      <c r="E677" t="s">
        <v>924</v>
      </c>
      <c r="F677" t="s">
        <v>906</v>
      </c>
    </row>
    <row r="678" spans="1:6">
      <c r="A678" t="s">
        <v>925</v>
      </c>
      <c r="B678" t="str">
        <f>"10673342253412677625"</f>
        <v>10673342253412677625</v>
      </c>
      <c r="C678" s="4">
        <v>45819</v>
      </c>
      <c r="D678" t="s">
        <v>241</v>
      </c>
      <c r="E678" t="s">
        <v>926</v>
      </c>
      <c r="F678" t="s">
        <v>927</v>
      </c>
    </row>
    <row r="679" spans="1:6">
      <c r="A679" t="s">
        <v>928</v>
      </c>
      <c r="B679" t="str">
        <f>"10673342253412577809"</f>
        <v>10673342253412577809</v>
      </c>
      <c r="C679" s="4">
        <v>45819</v>
      </c>
      <c r="D679" t="s">
        <v>241</v>
      </c>
      <c r="E679" t="s">
        <v>929</v>
      </c>
      <c r="F679" t="s">
        <v>927</v>
      </c>
    </row>
    <row r="680" spans="1:6">
      <c r="A680" t="s">
        <v>930</v>
      </c>
      <c r="B680" t="str">
        <f>"10673342253411891690"</f>
        <v>10673342253411891690</v>
      </c>
      <c r="C680" s="4">
        <v>45819</v>
      </c>
      <c r="D680" t="s">
        <v>241</v>
      </c>
      <c r="E680" t="s">
        <v>931</v>
      </c>
      <c r="F680" t="s">
        <v>932</v>
      </c>
    </row>
    <row r="681" spans="1:6">
      <c r="A681" t="s">
        <v>933</v>
      </c>
      <c r="B681" t="str">
        <f>"10673342253411217779"</f>
        <v>10673342253411217779</v>
      </c>
      <c r="C681" s="4">
        <v>45819</v>
      </c>
      <c r="D681" t="s">
        <v>241</v>
      </c>
      <c r="E681" t="s">
        <v>934</v>
      </c>
      <c r="F681" t="s">
        <v>932</v>
      </c>
    </row>
    <row r="682" spans="1:6">
      <c r="A682" t="s">
        <v>935</v>
      </c>
      <c r="B682" t="str">
        <f>"10673342253412098463"</f>
        <v>10673342253412098463</v>
      </c>
      <c r="C682" s="4">
        <v>45819</v>
      </c>
      <c r="D682" t="s">
        <v>241</v>
      </c>
      <c r="E682" t="s">
        <v>936</v>
      </c>
      <c r="F682" t="s">
        <v>932</v>
      </c>
    </row>
    <row r="683" spans="1:6">
      <c r="A683" t="s">
        <v>937</v>
      </c>
      <c r="B683" t="str">
        <f>"10673342253411451585"</f>
        <v>10673342253411451585</v>
      </c>
      <c r="C683" s="4">
        <v>45819</v>
      </c>
      <c r="D683" t="s">
        <v>241</v>
      </c>
      <c r="E683" t="s">
        <v>938</v>
      </c>
      <c r="F683" t="s">
        <v>932</v>
      </c>
    </row>
    <row r="684" spans="1:6">
      <c r="A684" t="s">
        <v>939</v>
      </c>
      <c r="B684" t="str">
        <f>"10673342253412278163"</f>
        <v>10673342253412278163</v>
      </c>
      <c r="C684" s="4">
        <v>45819</v>
      </c>
      <c r="D684" t="s">
        <v>241</v>
      </c>
      <c r="E684" t="s">
        <v>940</v>
      </c>
      <c r="F684" t="s">
        <v>927</v>
      </c>
    </row>
    <row r="685" spans="1:6">
      <c r="A685" t="s">
        <v>941</v>
      </c>
      <c r="B685" t="str">
        <f>"10673342253413997216"</f>
        <v>10673342253413997216</v>
      </c>
      <c r="C685" s="4">
        <v>45819</v>
      </c>
      <c r="D685" t="s">
        <v>241</v>
      </c>
      <c r="E685" t="s">
        <v>942</v>
      </c>
      <c r="F685" t="s">
        <v>943</v>
      </c>
    </row>
    <row r="686" spans="1:6">
      <c r="A686" t="s">
        <v>944</v>
      </c>
      <c r="B686" t="str">
        <f>"10673342253414725228"</f>
        <v>10673342253414725228</v>
      </c>
      <c r="C686" s="4">
        <v>45819</v>
      </c>
      <c r="D686" t="s">
        <v>241</v>
      </c>
      <c r="E686" t="s">
        <v>945</v>
      </c>
      <c r="F686" t="s">
        <v>946</v>
      </c>
    </row>
    <row r="687" spans="1:6">
      <c r="A687" t="s">
        <v>947</v>
      </c>
      <c r="B687" t="str">
        <f>"10673342253414328180"</f>
        <v>10673342253414328180</v>
      </c>
      <c r="C687" s="4">
        <v>45819</v>
      </c>
      <c r="D687" t="s">
        <v>241</v>
      </c>
      <c r="E687" t="s">
        <v>948</v>
      </c>
      <c r="F687" t="s">
        <v>943</v>
      </c>
    </row>
    <row r="688" spans="1:6">
      <c r="A688" t="s">
        <v>949</v>
      </c>
      <c r="B688" t="str">
        <f>"10673342253414133886"</f>
        <v>10673342253414133886</v>
      </c>
      <c r="C688" s="4">
        <v>45819</v>
      </c>
      <c r="D688" t="s">
        <v>241</v>
      </c>
      <c r="E688" t="s">
        <v>950</v>
      </c>
      <c r="F688" t="s">
        <v>943</v>
      </c>
    </row>
    <row r="689" spans="1:6">
      <c r="A689" t="s">
        <v>951</v>
      </c>
      <c r="B689" t="str">
        <f>"10673342253413858372"</f>
        <v>10673342253413858372</v>
      </c>
      <c r="C689" s="4">
        <v>45819</v>
      </c>
      <c r="D689" t="s">
        <v>241</v>
      </c>
      <c r="E689" t="s">
        <v>952</v>
      </c>
      <c r="F689" t="s">
        <v>943</v>
      </c>
    </row>
    <row r="690" spans="1:6">
      <c r="A690" t="s">
        <v>953</v>
      </c>
      <c r="B690" t="str">
        <f>"10673342253416604800"</f>
        <v>10673342253416604800</v>
      </c>
      <c r="C690" s="4">
        <v>45819</v>
      </c>
      <c r="D690" t="s">
        <v>241</v>
      </c>
      <c r="E690" t="s">
        <v>954</v>
      </c>
      <c r="F690" t="s">
        <v>955</v>
      </c>
    </row>
    <row r="691" spans="1:6">
      <c r="A691" t="s">
        <v>956</v>
      </c>
      <c r="B691" t="str">
        <f>"10673342253413396476"</f>
        <v>10673342253413396476</v>
      </c>
      <c r="C691" s="4">
        <v>45819</v>
      </c>
      <c r="D691" t="s">
        <v>241</v>
      </c>
      <c r="E691" t="s">
        <v>957</v>
      </c>
      <c r="F691" t="s">
        <v>927</v>
      </c>
    </row>
    <row r="692" spans="1:6">
      <c r="A692" t="s">
        <v>958</v>
      </c>
      <c r="B692" t="str">
        <f>"10673342253416629188"</f>
        <v>10673342253416629188</v>
      </c>
      <c r="C692" s="4">
        <v>45819</v>
      </c>
      <c r="D692" t="s">
        <v>241</v>
      </c>
      <c r="E692" t="s">
        <v>959</v>
      </c>
      <c r="F692" t="s">
        <v>946</v>
      </c>
    </row>
    <row r="693" spans="1:6">
      <c r="A693" t="s">
        <v>960</v>
      </c>
      <c r="B693" t="str">
        <f>"10673342253415683436"</f>
        <v>10673342253415683436</v>
      </c>
      <c r="C693" s="4">
        <v>45819</v>
      </c>
      <c r="D693" t="s">
        <v>241</v>
      </c>
      <c r="E693" t="s">
        <v>961</v>
      </c>
      <c r="F693" t="s">
        <v>962</v>
      </c>
    </row>
    <row r="694" spans="1:6">
      <c r="A694" t="s">
        <v>963</v>
      </c>
      <c r="B694" t="str">
        <f>"10673342253416217998"</f>
        <v>10673342253416217998</v>
      </c>
      <c r="C694" s="4">
        <v>45819</v>
      </c>
      <c r="D694" t="s">
        <v>241</v>
      </c>
      <c r="E694" t="s">
        <v>964</v>
      </c>
      <c r="F694" t="s">
        <v>955</v>
      </c>
    </row>
    <row r="695" spans="1:6">
      <c r="A695" t="s">
        <v>965</v>
      </c>
      <c r="B695" t="str">
        <f>"10673342253416188424"</f>
        <v>10673342253416188424</v>
      </c>
      <c r="C695" s="4">
        <v>45819</v>
      </c>
      <c r="D695" t="s">
        <v>241</v>
      </c>
      <c r="E695" t="s">
        <v>966</v>
      </c>
      <c r="F695" t="s">
        <v>962</v>
      </c>
    </row>
    <row r="696" spans="1:6">
      <c r="A696" t="s">
        <v>967</v>
      </c>
      <c r="B696" t="str">
        <f>"10673342253415911513"</f>
        <v>10673342253415911513</v>
      </c>
      <c r="C696" s="4">
        <v>45819</v>
      </c>
      <c r="D696" t="s">
        <v>241</v>
      </c>
      <c r="E696" t="s">
        <v>968</v>
      </c>
      <c r="F696" t="s">
        <v>962</v>
      </c>
    </row>
    <row r="697" spans="1:6">
      <c r="A697" t="s">
        <v>969</v>
      </c>
      <c r="B697" t="str">
        <f>"10673342253415669542"</f>
        <v>10673342253415669542</v>
      </c>
      <c r="C697" s="4">
        <v>45819</v>
      </c>
      <c r="D697" t="s">
        <v>241</v>
      </c>
      <c r="E697" t="s">
        <v>970</v>
      </c>
      <c r="F697" t="s">
        <v>962</v>
      </c>
    </row>
    <row r="698" spans="1:6">
      <c r="A698" t="s">
        <v>680</v>
      </c>
      <c r="B698" t="str">
        <f>"10673342253440357877"</f>
        <v>10673342253440357877</v>
      </c>
      <c r="C698" s="4">
        <v>45733</v>
      </c>
      <c r="D698" t="s">
        <v>241</v>
      </c>
      <c r="E698" t="s">
        <v>681</v>
      </c>
      <c r="F698" t="s">
        <v>682</v>
      </c>
    </row>
    <row r="699" spans="1:6">
      <c r="A699" t="s">
        <v>683</v>
      </c>
      <c r="B699" t="str">
        <f>"10673342253439941137"</f>
        <v>10673342253439941137</v>
      </c>
      <c r="C699" s="4">
        <v>45733</v>
      </c>
      <c r="D699" t="s">
        <v>241</v>
      </c>
      <c r="E699" t="s">
        <v>684</v>
      </c>
      <c r="F699" t="s">
        <v>685</v>
      </c>
    </row>
    <row r="700" spans="1:6">
      <c r="A700" t="s">
        <v>686</v>
      </c>
      <c r="B700" t="str">
        <f>"10673342253440355785"</f>
        <v>10673342253440355785</v>
      </c>
      <c r="C700" s="4">
        <v>45733</v>
      </c>
      <c r="D700" t="s">
        <v>241</v>
      </c>
      <c r="E700" t="s">
        <v>687</v>
      </c>
      <c r="F700" t="s">
        <v>561</v>
      </c>
    </row>
    <row r="701" spans="1:6">
      <c r="A701" t="s">
        <v>688</v>
      </c>
      <c r="B701" t="str">
        <f>"10673342253440204582"</f>
        <v>10673342253440204582</v>
      </c>
      <c r="C701" s="4">
        <v>45733</v>
      </c>
      <c r="D701" t="s">
        <v>241</v>
      </c>
      <c r="E701" t="s">
        <v>689</v>
      </c>
      <c r="F701" t="s">
        <v>685</v>
      </c>
    </row>
    <row r="702" spans="1:6">
      <c r="A702" t="s">
        <v>690</v>
      </c>
      <c r="B702" t="str">
        <f>"10673342253439764006"</f>
        <v>10673342253439764006</v>
      </c>
      <c r="C702" s="4">
        <v>45733</v>
      </c>
      <c r="D702" t="s">
        <v>241</v>
      </c>
      <c r="E702" t="s">
        <v>691</v>
      </c>
      <c r="F702" t="s">
        <v>692</v>
      </c>
    </row>
    <row r="703" spans="1:6">
      <c r="A703" t="s">
        <v>322</v>
      </c>
      <c r="B703" t="str">
        <f>"10673342253439860552"</f>
        <v>10673342253439860552</v>
      </c>
      <c r="C703" s="4">
        <v>45733</v>
      </c>
      <c r="D703" t="s">
        <v>241</v>
      </c>
      <c r="E703" t="s">
        <v>693</v>
      </c>
      <c r="F703" t="s">
        <v>685</v>
      </c>
    </row>
    <row r="704" spans="1:6">
      <c r="A704" t="s">
        <v>325</v>
      </c>
      <c r="B704" t="str">
        <f>"10673342253439785038"</f>
        <v>10673342253439785038</v>
      </c>
      <c r="C704" s="4">
        <v>45733</v>
      </c>
      <c r="D704" t="s">
        <v>241</v>
      </c>
      <c r="E704" t="s">
        <v>694</v>
      </c>
      <c r="F704" t="s">
        <v>685</v>
      </c>
    </row>
    <row r="705" spans="1:6">
      <c r="A705" t="s">
        <v>327</v>
      </c>
      <c r="B705" t="str">
        <f>"10673342253439757654"</f>
        <v>10673342253439757654</v>
      </c>
      <c r="C705" s="4">
        <v>45733</v>
      </c>
      <c r="D705" t="s">
        <v>241</v>
      </c>
      <c r="E705" t="s">
        <v>695</v>
      </c>
      <c r="F705" t="s">
        <v>692</v>
      </c>
    </row>
    <row r="706" spans="1:6">
      <c r="A706" t="s">
        <v>329</v>
      </c>
      <c r="B706" t="str">
        <f>"10673342253439681003"</f>
        <v>10673342253439681003</v>
      </c>
      <c r="C706" s="4">
        <v>45733</v>
      </c>
      <c r="D706" t="s">
        <v>241</v>
      </c>
      <c r="E706" t="s">
        <v>696</v>
      </c>
      <c r="F706" t="s">
        <v>692</v>
      </c>
    </row>
    <row r="707" spans="1:6">
      <c r="A707" t="s">
        <v>971</v>
      </c>
      <c r="B707" t="str">
        <f>"10673342253441404585"</f>
        <v>10673342253441404585</v>
      </c>
      <c r="C707" s="4">
        <v>45734</v>
      </c>
      <c r="D707" t="s">
        <v>241</v>
      </c>
      <c r="E707" t="s">
        <v>972</v>
      </c>
      <c r="F707" t="s">
        <v>973</v>
      </c>
    </row>
    <row r="708" spans="1:6">
      <c r="A708" t="s">
        <v>974</v>
      </c>
      <c r="B708" t="str">
        <f>"10673342253441536686"</f>
        <v>10673342253441536686</v>
      </c>
      <c r="C708" s="4">
        <v>45734</v>
      </c>
      <c r="D708" t="s">
        <v>241</v>
      </c>
      <c r="E708" t="s">
        <v>975</v>
      </c>
      <c r="F708" t="s">
        <v>973</v>
      </c>
    </row>
    <row r="709" spans="1:6">
      <c r="A709" t="s">
        <v>976</v>
      </c>
      <c r="B709" t="str">
        <f>"10673342253441489459"</f>
        <v>10673342253441489459</v>
      </c>
      <c r="C709" s="4">
        <v>45734</v>
      </c>
      <c r="D709" t="s">
        <v>241</v>
      </c>
      <c r="E709" t="s">
        <v>977</v>
      </c>
      <c r="F709" t="s">
        <v>973</v>
      </c>
    </row>
    <row r="710" spans="1:6">
      <c r="A710" t="s">
        <v>978</v>
      </c>
      <c r="B710" t="str">
        <f>"10673342253440685726"</f>
        <v>10673342253440685726</v>
      </c>
      <c r="C710" s="4">
        <v>45734</v>
      </c>
      <c r="D710" t="s">
        <v>241</v>
      </c>
      <c r="E710" t="s">
        <v>979</v>
      </c>
      <c r="F710" t="s">
        <v>980</v>
      </c>
    </row>
    <row r="711" spans="1:6">
      <c r="A711" t="s">
        <v>981</v>
      </c>
      <c r="B711" t="str">
        <f>"10673342253441121079"</f>
        <v>10673342253441121079</v>
      </c>
      <c r="C711" s="4">
        <v>45734</v>
      </c>
      <c r="D711" t="s">
        <v>241</v>
      </c>
      <c r="E711" t="s">
        <v>982</v>
      </c>
      <c r="F711" t="s">
        <v>980</v>
      </c>
    </row>
    <row r="712" spans="1:6">
      <c r="A712" t="s">
        <v>697</v>
      </c>
      <c r="B712" t="str">
        <f>"10673342253440612323"</f>
        <v>10673342253440612323</v>
      </c>
      <c r="C712" s="4">
        <v>45734</v>
      </c>
      <c r="D712" t="s">
        <v>241</v>
      </c>
      <c r="E712" t="s">
        <v>983</v>
      </c>
      <c r="F712" t="s">
        <v>980</v>
      </c>
    </row>
    <row r="713" spans="1:6">
      <c r="A713" t="s">
        <v>700</v>
      </c>
      <c r="B713" t="str">
        <f>"10673342253440648693"</f>
        <v>10673342253440648693</v>
      </c>
      <c r="C713" s="4">
        <v>45734</v>
      </c>
      <c r="D713" t="s">
        <v>241</v>
      </c>
      <c r="E713" t="s">
        <v>984</v>
      </c>
      <c r="F713" t="s">
        <v>980</v>
      </c>
    </row>
    <row r="714" spans="1:6">
      <c r="A714" t="s">
        <v>985</v>
      </c>
      <c r="B714" t="str">
        <f>"10673342253440472854"</f>
        <v>10673342253440472854</v>
      </c>
      <c r="C714" s="4">
        <v>45734</v>
      </c>
      <c r="D714" t="s">
        <v>241</v>
      </c>
      <c r="E714" t="s">
        <v>986</v>
      </c>
      <c r="F714" t="s">
        <v>682</v>
      </c>
    </row>
    <row r="715" spans="1:6">
      <c r="A715" t="s">
        <v>702</v>
      </c>
      <c r="B715" t="str">
        <f>"10673342253440455887"</f>
        <v>10673342253440455887</v>
      </c>
      <c r="C715" s="4">
        <v>45734</v>
      </c>
      <c r="D715" t="s">
        <v>241</v>
      </c>
      <c r="E715" t="s">
        <v>987</v>
      </c>
      <c r="F715" t="s">
        <v>682</v>
      </c>
    </row>
    <row r="716" spans="1:6">
      <c r="A716" t="s">
        <v>704</v>
      </c>
      <c r="B716" t="str">
        <f>"10673342253441998361"</f>
        <v>10673342253441998361</v>
      </c>
      <c r="C716" s="4">
        <v>45734</v>
      </c>
      <c r="D716" t="s">
        <v>99</v>
      </c>
      <c r="E716" t="s">
        <v>12</v>
      </c>
      <c r="F716" t="s">
        <v>12</v>
      </c>
    </row>
    <row r="717" spans="1:6">
      <c r="A717" t="s">
        <v>988</v>
      </c>
      <c r="B717" t="str">
        <f>"10673342253442106227"</f>
        <v>10673342253442106227</v>
      </c>
      <c r="C717" s="4">
        <v>45734</v>
      </c>
      <c r="D717" t="s">
        <v>99</v>
      </c>
      <c r="E717" t="s">
        <v>12</v>
      </c>
      <c r="F717" t="s">
        <v>12</v>
      </c>
    </row>
    <row r="718" spans="1:6">
      <c r="A718" t="s">
        <v>989</v>
      </c>
      <c r="B718" t="str">
        <f>"10673342253441921644"</f>
        <v>10673342253441921644</v>
      </c>
      <c r="C718" s="4">
        <v>45734</v>
      </c>
      <c r="D718" t="s">
        <v>99</v>
      </c>
      <c r="E718" t="s">
        <v>12</v>
      </c>
      <c r="F718" t="s">
        <v>12</v>
      </c>
    </row>
    <row r="719" spans="1:6">
      <c r="A719" t="s">
        <v>990</v>
      </c>
      <c r="B719" t="str">
        <f>"10673342253441943060"</f>
        <v>10673342253441943060</v>
      </c>
      <c r="C719" s="4">
        <v>45734</v>
      </c>
      <c r="D719" t="s">
        <v>99</v>
      </c>
      <c r="E719" t="s">
        <v>12</v>
      </c>
      <c r="F719" t="s">
        <v>12</v>
      </c>
    </row>
    <row r="720" spans="1:6">
      <c r="A720" t="s">
        <v>991</v>
      </c>
      <c r="B720" t="str">
        <f>"10673342253441731527"</f>
        <v>10673342253441731527</v>
      </c>
      <c r="C720" s="4">
        <v>45734</v>
      </c>
      <c r="D720" t="s">
        <v>241</v>
      </c>
      <c r="E720" t="s">
        <v>992</v>
      </c>
      <c r="F720" t="s">
        <v>993</v>
      </c>
    </row>
    <row r="721" spans="1:6">
      <c r="A721" t="s">
        <v>994</v>
      </c>
      <c r="B721" t="str">
        <f>"10673342253441865353"</f>
        <v>10673342253441865353</v>
      </c>
      <c r="C721" s="4">
        <v>45734</v>
      </c>
      <c r="D721" t="s">
        <v>241</v>
      </c>
      <c r="E721" t="s">
        <v>995</v>
      </c>
      <c r="F721" t="s">
        <v>993</v>
      </c>
    </row>
    <row r="722" spans="1:6">
      <c r="A722" t="s">
        <v>996</v>
      </c>
      <c r="B722" t="str">
        <f>"10673342253441733287"</f>
        <v>10673342253441733287</v>
      </c>
      <c r="C722" s="4">
        <v>45734</v>
      </c>
      <c r="D722" t="s">
        <v>241</v>
      </c>
      <c r="E722" t="s">
        <v>997</v>
      </c>
      <c r="F722" t="s">
        <v>993</v>
      </c>
    </row>
    <row r="723" spans="1:6">
      <c r="A723" t="s">
        <v>998</v>
      </c>
      <c r="B723" t="str">
        <f>"10673342253441606919"</f>
        <v>10673342253441606919</v>
      </c>
      <c r="C723" s="4">
        <v>45734</v>
      </c>
      <c r="D723" t="s">
        <v>241</v>
      </c>
      <c r="E723" t="s">
        <v>999</v>
      </c>
      <c r="F723" t="s">
        <v>973</v>
      </c>
    </row>
    <row r="724" spans="1:6">
      <c r="A724" t="s">
        <v>1000</v>
      </c>
      <c r="B724" t="str">
        <f>"10673342253441611602"</f>
        <v>10673342253441611602</v>
      </c>
      <c r="C724" s="4">
        <v>45734</v>
      </c>
      <c r="D724" t="s">
        <v>241</v>
      </c>
      <c r="E724" t="s">
        <v>1001</v>
      </c>
      <c r="F724" t="s">
        <v>993</v>
      </c>
    </row>
    <row r="725" spans="1:6">
      <c r="A725" t="s">
        <v>1002</v>
      </c>
      <c r="B725" t="s">
        <v>12</v>
      </c>
      <c r="C725" t="s">
        <v>12</v>
      </c>
      <c r="D725" t="s">
        <v>1003</v>
      </c>
      <c r="E725" t="s">
        <v>12</v>
      </c>
      <c r="F725" t="s">
        <v>12</v>
      </c>
    </row>
    <row r="726" spans="1:6">
      <c r="A726" t="s">
        <v>1004</v>
      </c>
      <c r="B726" t="str">
        <f>"10673342253470969484"</f>
        <v>10673342253470969484</v>
      </c>
      <c r="C726" s="4">
        <v>45765</v>
      </c>
      <c r="D726" t="s">
        <v>99</v>
      </c>
      <c r="E726" t="s">
        <v>12</v>
      </c>
      <c r="F726" t="s">
        <v>12</v>
      </c>
    </row>
    <row r="727" spans="1:6">
      <c r="A727" t="s">
        <v>773</v>
      </c>
      <c r="B727" t="str">
        <f>"10673342253470283573"</f>
        <v>10673342253470283573</v>
      </c>
      <c r="C727" s="4">
        <v>45765</v>
      </c>
      <c r="D727" t="s">
        <v>99</v>
      </c>
      <c r="E727" t="s">
        <v>12</v>
      </c>
      <c r="F727" t="s">
        <v>12</v>
      </c>
    </row>
    <row r="728" spans="1:6">
      <c r="A728" t="s">
        <v>253</v>
      </c>
      <c r="B728" t="str">
        <f>"10673342253470110772"</f>
        <v>10673342253470110772</v>
      </c>
      <c r="C728" s="4">
        <v>45765</v>
      </c>
      <c r="D728" t="s">
        <v>99</v>
      </c>
      <c r="E728" t="s">
        <v>12</v>
      </c>
      <c r="F728" t="s">
        <v>12</v>
      </c>
    </row>
    <row r="729" spans="1:6">
      <c r="A729" t="s">
        <v>259</v>
      </c>
      <c r="B729" t="str">
        <f>"10673342253470068229"</f>
        <v>10673342253470068229</v>
      </c>
      <c r="C729" s="4">
        <v>45765</v>
      </c>
      <c r="D729" t="s">
        <v>99</v>
      </c>
      <c r="E729" t="s">
        <v>12</v>
      </c>
      <c r="F729" t="s">
        <v>12</v>
      </c>
    </row>
    <row r="730" spans="1:6">
      <c r="A730" t="s">
        <v>264</v>
      </c>
      <c r="B730" t="str">
        <f>"10673342253470632409"</f>
        <v>10673342253470632409</v>
      </c>
      <c r="C730" s="4">
        <v>45765</v>
      </c>
      <c r="D730" t="s">
        <v>99</v>
      </c>
      <c r="E730" t="s">
        <v>12</v>
      </c>
      <c r="F730" t="s">
        <v>12</v>
      </c>
    </row>
    <row r="731" spans="1:6">
      <c r="A731" t="s">
        <v>1005</v>
      </c>
      <c r="B731" t="str">
        <f>"10673342253417137849"</f>
        <v>10673342253417137849</v>
      </c>
      <c r="C731" s="4">
        <v>45824</v>
      </c>
      <c r="D731" t="s">
        <v>241</v>
      </c>
      <c r="E731" t="s">
        <v>1006</v>
      </c>
      <c r="F731" t="s">
        <v>955</v>
      </c>
    </row>
    <row r="732" spans="1:6">
      <c r="A732" t="s">
        <v>1007</v>
      </c>
      <c r="B732" t="str">
        <f>"10673342253445340506"</f>
        <v>10673342253445340506</v>
      </c>
      <c r="C732" s="4">
        <v>45855</v>
      </c>
      <c r="D732" t="s">
        <v>241</v>
      </c>
      <c r="E732" t="s">
        <v>1008</v>
      </c>
      <c r="F732" t="s">
        <v>922</v>
      </c>
    </row>
    <row r="733" spans="1:6">
      <c r="A733" t="s">
        <v>1009</v>
      </c>
      <c r="B733" t="str">
        <f>"10673342253417031243"</f>
        <v>10673342253417031243</v>
      </c>
      <c r="C733" s="4">
        <v>45824</v>
      </c>
      <c r="D733" t="s">
        <v>241</v>
      </c>
      <c r="E733" t="s">
        <v>1010</v>
      </c>
      <c r="F733" t="s">
        <v>955</v>
      </c>
    </row>
    <row r="734" spans="1:6">
      <c r="A734" t="s">
        <v>1011</v>
      </c>
      <c r="B734" t="str">
        <f>"10673342253444740888"</f>
        <v>10673342253444740888</v>
      </c>
      <c r="C734" s="4">
        <v>45855</v>
      </c>
      <c r="D734" t="s">
        <v>241</v>
      </c>
      <c r="E734" t="s">
        <v>1012</v>
      </c>
      <c r="F734" t="s">
        <v>922</v>
      </c>
    </row>
    <row r="735" spans="1:6">
      <c r="A735" t="s">
        <v>1013</v>
      </c>
      <c r="B735" t="str">
        <f>"10673342253419445819"</f>
        <v>10673342253419445819</v>
      </c>
      <c r="C735" s="4">
        <v>45824</v>
      </c>
      <c r="D735" t="s">
        <v>241</v>
      </c>
      <c r="E735" t="s">
        <v>1014</v>
      </c>
      <c r="F735" t="s">
        <v>1015</v>
      </c>
    </row>
    <row r="736" spans="1:6">
      <c r="A736" t="s">
        <v>1016</v>
      </c>
      <c r="B736" t="str">
        <f>"10673342253445804596"</f>
        <v>10673342253445804596</v>
      </c>
      <c r="C736" s="4">
        <v>45855</v>
      </c>
      <c r="D736" t="s">
        <v>241</v>
      </c>
      <c r="E736" t="s">
        <v>1017</v>
      </c>
      <c r="F736" t="s">
        <v>1018</v>
      </c>
    </row>
    <row r="737" spans="1:6">
      <c r="A737" t="s">
        <v>1019</v>
      </c>
      <c r="B737" t="str">
        <f>"10673342253418913274"</f>
        <v>10673342253418913274</v>
      </c>
      <c r="C737" s="4">
        <v>45824</v>
      </c>
      <c r="D737" t="s">
        <v>241</v>
      </c>
      <c r="E737" t="s">
        <v>1020</v>
      </c>
      <c r="F737" t="s">
        <v>1021</v>
      </c>
    </row>
    <row r="738" spans="1:6">
      <c r="A738" t="s">
        <v>1022</v>
      </c>
      <c r="B738" t="str">
        <f>"10677462254000323580"</f>
        <v>10677462254000323580</v>
      </c>
      <c r="C738" s="4">
        <v>45855</v>
      </c>
      <c r="D738" t="s">
        <v>241</v>
      </c>
      <c r="E738" t="s">
        <v>1023</v>
      </c>
      <c r="F738" t="s">
        <v>1024</v>
      </c>
    </row>
    <row r="739" spans="1:6">
      <c r="A739" t="s">
        <v>1025</v>
      </c>
      <c r="B739" t="str">
        <f>"10673342253419298999"</f>
        <v>10673342253419298999</v>
      </c>
      <c r="C739" s="4">
        <v>45824</v>
      </c>
      <c r="D739" t="s">
        <v>241</v>
      </c>
      <c r="E739" t="s">
        <v>1026</v>
      </c>
      <c r="F739" t="s">
        <v>1015</v>
      </c>
    </row>
    <row r="740" spans="1:6">
      <c r="A740" t="s">
        <v>1027</v>
      </c>
      <c r="B740" t="str">
        <f>"10673342253444734500"</f>
        <v>10673342253444734500</v>
      </c>
      <c r="C740" s="4">
        <v>45855</v>
      </c>
      <c r="D740" t="s">
        <v>241</v>
      </c>
      <c r="E740" t="s">
        <v>1028</v>
      </c>
      <c r="F740" t="s">
        <v>922</v>
      </c>
    </row>
    <row r="741" spans="1:6">
      <c r="A741" t="s">
        <v>1029</v>
      </c>
      <c r="B741" t="str">
        <f>"10673342253419060402"</f>
        <v>10673342253419060402</v>
      </c>
      <c r="C741" s="4">
        <v>45824</v>
      </c>
      <c r="D741" t="s">
        <v>241</v>
      </c>
      <c r="E741" t="s">
        <v>1030</v>
      </c>
      <c r="F741" t="s">
        <v>1015</v>
      </c>
    </row>
    <row r="742" spans="1:6">
      <c r="A742" t="s">
        <v>1031</v>
      </c>
      <c r="B742" t="str">
        <f>"10673342253445616455"</f>
        <v>10673342253445616455</v>
      </c>
      <c r="C742" s="4">
        <v>45855</v>
      </c>
      <c r="D742" t="s">
        <v>241</v>
      </c>
      <c r="E742" t="s">
        <v>1032</v>
      </c>
      <c r="F742" t="s">
        <v>1018</v>
      </c>
    </row>
    <row r="743" spans="1:6">
      <c r="A743" t="s">
        <v>1033</v>
      </c>
      <c r="B743" t="str">
        <f>"10673342253418645598"</f>
        <v>10673342253418645598</v>
      </c>
      <c r="C743" s="4">
        <v>45824</v>
      </c>
      <c r="D743" t="s">
        <v>241</v>
      </c>
      <c r="E743" t="s">
        <v>1034</v>
      </c>
      <c r="F743" t="s">
        <v>1021</v>
      </c>
    </row>
    <row r="744" spans="1:6">
      <c r="A744" t="s">
        <v>1035</v>
      </c>
      <c r="B744" t="str">
        <f>"10677462254000748131"</f>
        <v>10677462254000748131</v>
      </c>
      <c r="C744" s="4">
        <v>45855</v>
      </c>
      <c r="D744" t="s">
        <v>241</v>
      </c>
      <c r="E744" t="s">
        <v>1036</v>
      </c>
      <c r="F744" t="s">
        <v>1024</v>
      </c>
    </row>
    <row r="745" spans="1:6">
      <c r="A745" t="s">
        <v>1037</v>
      </c>
      <c r="B745" t="str">
        <f>"10673342253418710217"</f>
        <v>10673342253418710217</v>
      </c>
      <c r="C745" s="4">
        <v>45824</v>
      </c>
      <c r="D745" t="s">
        <v>241</v>
      </c>
      <c r="E745" t="s">
        <v>1038</v>
      </c>
      <c r="F745" t="s">
        <v>1021</v>
      </c>
    </row>
    <row r="746" spans="1:6">
      <c r="A746" t="s">
        <v>1039</v>
      </c>
      <c r="B746" t="str">
        <f>"10677462254001201446"</f>
        <v>10677462254001201446</v>
      </c>
      <c r="C746" s="4">
        <v>45855</v>
      </c>
      <c r="D746" t="s">
        <v>241</v>
      </c>
      <c r="E746" t="s">
        <v>1040</v>
      </c>
      <c r="F746" t="s">
        <v>1024</v>
      </c>
    </row>
    <row r="747" spans="1:6">
      <c r="A747" t="s">
        <v>1041</v>
      </c>
      <c r="B747" t="str">
        <f>"10673342253418405155"</f>
        <v>10673342253418405155</v>
      </c>
      <c r="C747" s="4">
        <v>45824</v>
      </c>
      <c r="D747" t="s">
        <v>241</v>
      </c>
      <c r="E747" t="s">
        <v>1042</v>
      </c>
      <c r="F747" t="s">
        <v>1021</v>
      </c>
    </row>
    <row r="748" spans="1:6">
      <c r="A748" t="s">
        <v>1043</v>
      </c>
      <c r="B748" t="str">
        <f>"10677462254000299140"</f>
        <v>10677462254000299140</v>
      </c>
      <c r="C748" s="4">
        <v>45855</v>
      </c>
      <c r="D748" t="s">
        <v>241</v>
      </c>
      <c r="E748" t="s">
        <v>1044</v>
      </c>
      <c r="F748" t="s">
        <v>1018</v>
      </c>
    </row>
    <row r="749" spans="1:6">
      <c r="A749" t="s">
        <v>1045</v>
      </c>
      <c r="B749" t="str">
        <f>"10673342253417368710"</f>
        <v>10673342253417368710</v>
      </c>
      <c r="C749" s="4">
        <v>45824</v>
      </c>
      <c r="D749" t="s">
        <v>241</v>
      </c>
      <c r="E749" t="s">
        <v>1046</v>
      </c>
      <c r="F749" t="s">
        <v>1047</v>
      </c>
    </row>
    <row r="750" spans="1:6">
      <c r="A750" t="s">
        <v>1048</v>
      </c>
      <c r="B750" t="str">
        <f>"10677462254002064760"</f>
        <v>10677462254002064760</v>
      </c>
      <c r="C750" s="4">
        <v>45855</v>
      </c>
      <c r="D750" t="s">
        <v>241</v>
      </c>
      <c r="E750" t="s">
        <v>1049</v>
      </c>
      <c r="F750" t="s">
        <v>348</v>
      </c>
    </row>
    <row r="751" spans="1:6">
      <c r="A751" t="s">
        <v>1050</v>
      </c>
      <c r="B751" t="str">
        <f>"10673342253417280286"</f>
        <v>10673342253417280286</v>
      </c>
      <c r="C751" s="4">
        <v>45824</v>
      </c>
      <c r="D751" t="s">
        <v>241</v>
      </c>
      <c r="E751" t="s">
        <v>1051</v>
      </c>
      <c r="F751" t="s">
        <v>1047</v>
      </c>
    </row>
    <row r="752" spans="1:6">
      <c r="A752" t="s">
        <v>1052</v>
      </c>
      <c r="B752" t="str">
        <f>"10677462254002039162"</f>
        <v>10677462254002039162</v>
      </c>
      <c r="C752" s="4">
        <v>45855</v>
      </c>
      <c r="D752" t="s">
        <v>241</v>
      </c>
      <c r="E752" t="s">
        <v>1053</v>
      </c>
      <c r="F752" t="s">
        <v>348</v>
      </c>
    </row>
    <row r="753" spans="1:6">
      <c r="A753" t="s">
        <v>1054</v>
      </c>
      <c r="B753" t="str">
        <f>"10673342253417350306"</f>
        <v>10673342253417350306</v>
      </c>
      <c r="C753" s="4">
        <v>45824</v>
      </c>
      <c r="D753" t="s">
        <v>241</v>
      </c>
      <c r="E753" t="s">
        <v>1055</v>
      </c>
      <c r="F753" t="s">
        <v>1047</v>
      </c>
    </row>
    <row r="754" spans="1:6">
      <c r="A754" t="s">
        <v>1056</v>
      </c>
      <c r="B754" t="str">
        <f>"10677462254000221018"</f>
        <v>10677462254000221018</v>
      </c>
      <c r="C754" s="4">
        <v>45855</v>
      </c>
      <c r="D754" t="s">
        <v>241</v>
      </c>
      <c r="E754" t="s">
        <v>1057</v>
      </c>
      <c r="F754" t="s">
        <v>1018</v>
      </c>
    </row>
    <row r="755" spans="1:6">
      <c r="A755" t="s">
        <v>1058</v>
      </c>
      <c r="B755" t="str">
        <f>"10673342253417294492"</f>
        <v>10673342253417294492</v>
      </c>
      <c r="C755" s="4">
        <v>45824</v>
      </c>
      <c r="D755" t="s">
        <v>241</v>
      </c>
      <c r="E755" t="s">
        <v>1059</v>
      </c>
      <c r="F755" t="s">
        <v>1047</v>
      </c>
    </row>
    <row r="756" spans="1:6">
      <c r="A756" t="s">
        <v>1060</v>
      </c>
      <c r="B756" t="str">
        <f>"10677462254000805364"</f>
        <v>10677462254000805364</v>
      </c>
      <c r="C756" s="4">
        <v>45855</v>
      </c>
      <c r="D756" t="s">
        <v>241</v>
      </c>
      <c r="E756" t="s">
        <v>1061</v>
      </c>
      <c r="F756" t="s">
        <v>1024</v>
      </c>
    </row>
    <row r="757" spans="1:6">
      <c r="A757" t="s">
        <v>1062</v>
      </c>
      <c r="B757" t="str">
        <f>"10673342253421298291"</f>
        <v>10673342253421298291</v>
      </c>
      <c r="C757" s="4">
        <v>45826</v>
      </c>
      <c r="D757" t="s">
        <v>241</v>
      </c>
      <c r="E757" t="s">
        <v>1063</v>
      </c>
      <c r="F757" t="s">
        <v>1064</v>
      </c>
    </row>
    <row r="758" spans="1:6">
      <c r="A758" t="s">
        <v>1065</v>
      </c>
      <c r="B758" t="str">
        <f>"10673342253420218057"</f>
        <v>10673342253420218057</v>
      </c>
      <c r="C758" s="4">
        <v>45826</v>
      </c>
      <c r="D758" t="s">
        <v>241</v>
      </c>
      <c r="E758" t="s">
        <v>1066</v>
      </c>
      <c r="F758" t="s">
        <v>1064</v>
      </c>
    </row>
    <row r="759" spans="1:6">
      <c r="A759" t="s">
        <v>1067</v>
      </c>
      <c r="B759" t="str">
        <f>"10673342253420660752"</f>
        <v>10673342253420660752</v>
      </c>
      <c r="C759" s="4">
        <v>45826</v>
      </c>
      <c r="D759" t="s">
        <v>241</v>
      </c>
      <c r="E759" t="s">
        <v>1068</v>
      </c>
      <c r="F759" t="s">
        <v>1064</v>
      </c>
    </row>
    <row r="760" spans="1:6">
      <c r="A760" t="s">
        <v>1069</v>
      </c>
      <c r="B760" t="str">
        <f>"10673342253419919993"</f>
        <v>10673342253419919993</v>
      </c>
      <c r="C760" s="4">
        <v>45826</v>
      </c>
      <c r="D760" t="s">
        <v>241</v>
      </c>
      <c r="E760" t="s">
        <v>1070</v>
      </c>
      <c r="F760" t="s">
        <v>1015</v>
      </c>
    </row>
    <row r="761" spans="1:6">
      <c r="A761" t="s">
        <v>1071</v>
      </c>
      <c r="B761" t="str">
        <f>"10673342253420053392"</f>
        <v>10673342253420053392</v>
      </c>
      <c r="C761" s="4">
        <v>45826</v>
      </c>
      <c r="D761" t="s">
        <v>241</v>
      </c>
      <c r="E761" t="s">
        <v>1072</v>
      </c>
      <c r="F761" t="s">
        <v>1064</v>
      </c>
    </row>
    <row r="762" spans="1:6">
      <c r="A762" t="s">
        <v>1073</v>
      </c>
      <c r="B762" t="str">
        <f>"10677462254023624420"</f>
        <v>10677462254023624420</v>
      </c>
      <c r="C762" s="4">
        <v>45897</v>
      </c>
      <c r="D762" t="s">
        <v>241</v>
      </c>
      <c r="E762" t="s">
        <v>1074</v>
      </c>
      <c r="F762" t="s">
        <v>1075</v>
      </c>
    </row>
    <row r="763" spans="1:6">
      <c r="A763" t="s">
        <v>337</v>
      </c>
      <c r="B763" t="str">
        <f>"10677462254025680212"</f>
        <v>10677462254025680212</v>
      </c>
      <c r="C763" s="4">
        <v>45898</v>
      </c>
      <c r="D763" t="s">
        <v>241</v>
      </c>
      <c r="E763" t="s">
        <v>338</v>
      </c>
      <c r="F763" t="s">
        <v>339</v>
      </c>
    </row>
    <row r="764" spans="1:6">
      <c r="A764" t="s">
        <v>1076</v>
      </c>
      <c r="B764" t="str">
        <f>"10673342253421298291"</f>
        <v>10673342253421298291</v>
      </c>
      <c r="C764" s="4">
        <v>45826</v>
      </c>
      <c r="D764" t="s">
        <v>241</v>
      </c>
      <c r="E764" t="s">
        <v>1063</v>
      </c>
      <c r="F764" t="s">
        <v>1064</v>
      </c>
    </row>
    <row r="765" spans="1:6">
      <c r="A765" t="s">
        <v>1077</v>
      </c>
      <c r="B765" t="str">
        <f>"10677462254027156099"</f>
        <v>10677462254027156099</v>
      </c>
      <c r="C765" s="4">
        <v>45901</v>
      </c>
      <c r="D765" t="s">
        <v>241</v>
      </c>
      <c r="E765" t="s">
        <v>1078</v>
      </c>
      <c r="F765" t="s">
        <v>1079</v>
      </c>
    </row>
    <row r="766" spans="1:6">
      <c r="A766" t="s">
        <v>1080</v>
      </c>
      <c r="B766" t="str">
        <f>"10677462254016416559"</f>
        <v>10677462254016416559</v>
      </c>
      <c r="C766" s="4">
        <v>45882</v>
      </c>
      <c r="D766" t="s">
        <v>241</v>
      </c>
      <c r="E766" t="s">
        <v>1081</v>
      </c>
      <c r="F766" t="s">
        <v>818</v>
      </c>
    </row>
    <row r="767" spans="1:6">
      <c r="A767" t="s">
        <v>813</v>
      </c>
      <c r="B767" t="str">
        <f>"10677462254018656433"</f>
        <v>10677462254018656433</v>
      </c>
      <c r="C767" s="4">
        <v>45884</v>
      </c>
      <c r="D767" t="s">
        <v>241</v>
      </c>
      <c r="E767" t="s">
        <v>814</v>
      </c>
      <c r="F767" t="s">
        <v>815</v>
      </c>
    </row>
    <row r="768" spans="1:6">
      <c r="A768" t="s">
        <v>1082</v>
      </c>
      <c r="B768" t="str">
        <f>"10677462254018922451"</f>
        <v>10677462254018922451</v>
      </c>
      <c r="C768" s="4">
        <v>45887</v>
      </c>
      <c r="D768" t="s">
        <v>241</v>
      </c>
      <c r="E768" t="s">
        <v>1083</v>
      </c>
      <c r="F768" t="s">
        <v>815</v>
      </c>
    </row>
    <row r="769" spans="1:6">
      <c r="A769" t="s">
        <v>1084</v>
      </c>
      <c r="B769" t="str">
        <f>"10677462254020169412"</f>
        <v>10677462254020169412</v>
      </c>
      <c r="C769" s="4">
        <v>45889</v>
      </c>
      <c r="D769" t="s">
        <v>99</v>
      </c>
      <c r="E769" t="s">
        <v>12</v>
      </c>
      <c r="F769" t="s">
        <v>12</v>
      </c>
    </row>
    <row r="770" spans="1:6">
      <c r="A770" t="s">
        <v>1085</v>
      </c>
      <c r="B770" t="str">
        <f>"10677462254025110343"</f>
        <v>10677462254025110343</v>
      </c>
      <c r="C770" s="4">
        <v>45897</v>
      </c>
      <c r="D770" t="s">
        <v>241</v>
      </c>
      <c r="E770" t="s">
        <v>1086</v>
      </c>
      <c r="F770" t="s">
        <v>368</v>
      </c>
    </row>
    <row r="771" spans="1:6">
      <c r="A771" t="s">
        <v>366</v>
      </c>
      <c r="B771" t="str">
        <f>"10677462254025291259"</f>
        <v>10677462254025291259</v>
      </c>
      <c r="C771" s="4">
        <v>45898</v>
      </c>
      <c r="D771" t="s">
        <v>241</v>
      </c>
      <c r="E771" t="s">
        <v>367</v>
      </c>
      <c r="F771" t="s">
        <v>368</v>
      </c>
    </row>
    <row r="772" spans="1:6">
      <c r="A772" t="s">
        <v>1087</v>
      </c>
      <c r="B772" t="str">
        <f>"10673342253420218057"</f>
        <v>10673342253420218057</v>
      </c>
      <c r="C772" s="4">
        <v>45826</v>
      </c>
      <c r="D772" t="s">
        <v>241</v>
      </c>
      <c r="E772" t="s">
        <v>1066</v>
      </c>
      <c r="F772" t="s">
        <v>1064</v>
      </c>
    </row>
    <row r="773" spans="1:6">
      <c r="A773" t="s">
        <v>1088</v>
      </c>
      <c r="B773" t="str">
        <f>"10677462254026958052"</f>
        <v>10677462254026958052</v>
      </c>
      <c r="C773" s="4">
        <v>45901</v>
      </c>
      <c r="D773" t="s">
        <v>241</v>
      </c>
      <c r="E773" t="s">
        <v>1089</v>
      </c>
      <c r="F773" t="s">
        <v>1079</v>
      </c>
    </row>
    <row r="774" spans="1:6">
      <c r="A774" t="s">
        <v>1090</v>
      </c>
      <c r="B774" t="str">
        <f>"10677462254016198675"</f>
        <v>10677462254016198675</v>
      </c>
      <c r="C774" s="4">
        <v>45882</v>
      </c>
      <c r="D774" t="s">
        <v>241</v>
      </c>
      <c r="E774" t="s">
        <v>1091</v>
      </c>
      <c r="F774" t="s">
        <v>818</v>
      </c>
    </row>
    <row r="775" spans="1:6">
      <c r="A775" t="s">
        <v>826</v>
      </c>
      <c r="B775" t="str">
        <f>"10677462254017364483"</f>
        <v>10677462254017364483</v>
      </c>
      <c r="C775" s="4">
        <v>45884</v>
      </c>
      <c r="D775" t="s">
        <v>241</v>
      </c>
      <c r="E775" t="s">
        <v>827</v>
      </c>
      <c r="F775" t="s">
        <v>828</v>
      </c>
    </row>
    <row r="776" spans="1:6">
      <c r="A776" t="s">
        <v>1092</v>
      </c>
      <c r="B776" t="str">
        <f>"18810533250815075864"</f>
        <v>18810533250815075864</v>
      </c>
      <c r="C776" s="4">
        <v>45887</v>
      </c>
      <c r="D776" t="s">
        <v>99</v>
      </c>
      <c r="E776" t="s">
        <v>12</v>
      </c>
      <c r="F776" t="s">
        <v>12</v>
      </c>
    </row>
    <row r="777" spans="1:6">
      <c r="A777" t="s">
        <v>1093</v>
      </c>
      <c r="B777" t="str">
        <f>"10677462254019874078"</f>
        <v>10677462254019874078</v>
      </c>
      <c r="C777" s="4">
        <v>45889</v>
      </c>
      <c r="D777" t="s">
        <v>99</v>
      </c>
      <c r="E777" t="s">
        <v>12</v>
      </c>
      <c r="F777" t="s">
        <v>12</v>
      </c>
    </row>
    <row r="778" spans="1:6">
      <c r="A778" t="s">
        <v>1094</v>
      </c>
      <c r="B778" t="str">
        <f>"10677462254024876555"</f>
        <v>10677462254024876555</v>
      </c>
      <c r="C778" s="4">
        <v>45897</v>
      </c>
      <c r="D778" t="s">
        <v>241</v>
      </c>
      <c r="E778" t="s">
        <v>1095</v>
      </c>
      <c r="F778" t="s">
        <v>368</v>
      </c>
    </row>
    <row r="779" spans="1:6">
      <c r="A779" t="s">
        <v>393</v>
      </c>
      <c r="B779" t="str">
        <f>"10677462254026234022"</f>
        <v>10677462254026234022</v>
      </c>
      <c r="C779" s="4">
        <v>45898</v>
      </c>
      <c r="D779" t="s">
        <v>241</v>
      </c>
      <c r="E779" t="s">
        <v>394</v>
      </c>
      <c r="F779" t="s">
        <v>339</v>
      </c>
    </row>
    <row r="780" spans="1:6">
      <c r="A780" t="s">
        <v>1096</v>
      </c>
      <c r="B780" t="str">
        <f>"10673342253420660752"</f>
        <v>10673342253420660752</v>
      </c>
      <c r="C780" s="4">
        <v>45826</v>
      </c>
      <c r="D780" t="s">
        <v>241</v>
      </c>
      <c r="E780" t="s">
        <v>1068</v>
      </c>
      <c r="F780" t="s">
        <v>1064</v>
      </c>
    </row>
    <row r="781" spans="1:6">
      <c r="A781" t="s">
        <v>1097</v>
      </c>
      <c r="B781" t="str">
        <f>"10677462254027055820"</f>
        <v>10677462254027055820</v>
      </c>
      <c r="C781" s="4">
        <v>45901</v>
      </c>
      <c r="D781" t="s">
        <v>241</v>
      </c>
      <c r="E781" t="s">
        <v>1098</v>
      </c>
      <c r="F781" t="s">
        <v>1079</v>
      </c>
    </row>
    <row r="782" spans="1:6">
      <c r="A782" t="s">
        <v>1099</v>
      </c>
      <c r="B782" t="str">
        <f>"10677462254016285578"</f>
        <v>10677462254016285578</v>
      </c>
      <c r="C782" s="4">
        <v>45882</v>
      </c>
      <c r="D782" t="s">
        <v>241</v>
      </c>
      <c r="E782" t="s">
        <v>1100</v>
      </c>
      <c r="F782" t="s">
        <v>818</v>
      </c>
    </row>
    <row r="783" spans="1:6">
      <c r="A783" t="s">
        <v>835</v>
      </c>
      <c r="B783" t="str">
        <f>"10677462254018091592"</f>
        <v>10677462254018091592</v>
      </c>
      <c r="C783" s="4">
        <v>45884</v>
      </c>
      <c r="D783" t="s">
        <v>241</v>
      </c>
      <c r="E783" t="s">
        <v>836</v>
      </c>
      <c r="F783" t="s">
        <v>815</v>
      </c>
    </row>
    <row r="784" spans="1:6">
      <c r="A784" t="s">
        <v>1101</v>
      </c>
      <c r="B784" t="str">
        <f>"10677462254018881143"</f>
        <v>10677462254018881143</v>
      </c>
      <c r="C784" s="4">
        <v>45887</v>
      </c>
      <c r="D784" t="s">
        <v>241</v>
      </c>
      <c r="E784" t="s">
        <v>1102</v>
      </c>
      <c r="F784" t="s">
        <v>815</v>
      </c>
    </row>
    <row r="785" spans="1:6">
      <c r="A785" t="s">
        <v>1103</v>
      </c>
      <c r="B785" t="str">
        <f>"10677462254024146212"</f>
        <v>10677462254024146212</v>
      </c>
      <c r="C785" s="4">
        <v>45897</v>
      </c>
      <c r="D785" t="s">
        <v>241</v>
      </c>
      <c r="E785" t="s">
        <v>1104</v>
      </c>
      <c r="F785" t="s">
        <v>1075</v>
      </c>
    </row>
    <row r="786" spans="1:6">
      <c r="A786" t="s">
        <v>411</v>
      </c>
      <c r="B786" t="str">
        <f>"10677462254025994608"</f>
        <v>10677462254025994608</v>
      </c>
      <c r="C786" s="4">
        <v>45898</v>
      </c>
      <c r="D786" t="s">
        <v>241</v>
      </c>
      <c r="E786" t="s">
        <v>412</v>
      </c>
      <c r="F786" t="s">
        <v>339</v>
      </c>
    </row>
    <row r="787" spans="1:6">
      <c r="A787" t="s">
        <v>1105</v>
      </c>
      <c r="B787" t="str">
        <f>"10673342253419919993"</f>
        <v>10673342253419919993</v>
      </c>
      <c r="C787" s="4">
        <v>45826</v>
      </c>
      <c r="D787" t="s">
        <v>241</v>
      </c>
      <c r="E787" t="s">
        <v>1070</v>
      </c>
      <c r="F787" t="s">
        <v>1015</v>
      </c>
    </row>
    <row r="788" spans="1:6">
      <c r="A788" t="s">
        <v>1106</v>
      </c>
      <c r="B788" t="str">
        <f>"10677462254026952852"</f>
        <v>10677462254026952852</v>
      </c>
      <c r="C788" s="4">
        <v>45901</v>
      </c>
      <c r="D788" t="s">
        <v>241</v>
      </c>
      <c r="E788" t="s">
        <v>1107</v>
      </c>
      <c r="F788" t="s">
        <v>1079</v>
      </c>
    </row>
    <row r="789" spans="1:6">
      <c r="A789" t="s">
        <v>839</v>
      </c>
      <c r="B789" t="str">
        <f>"10677462254017738320"</f>
        <v>10677462254017738320</v>
      </c>
      <c r="C789" s="4">
        <v>45884</v>
      </c>
      <c r="D789" t="s">
        <v>241</v>
      </c>
      <c r="E789" t="s">
        <v>840</v>
      </c>
      <c r="F789" t="s">
        <v>828</v>
      </c>
    </row>
    <row r="790" spans="1:6">
      <c r="A790" t="s">
        <v>1108</v>
      </c>
      <c r="B790" t="str">
        <f>"10677462254019060089"</f>
        <v>10677462254019060089</v>
      </c>
      <c r="C790" s="4">
        <v>45887</v>
      </c>
      <c r="D790" t="s">
        <v>99</v>
      </c>
      <c r="E790" t="s">
        <v>12</v>
      </c>
      <c r="F790" t="s">
        <v>12</v>
      </c>
    </row>
    <row r="791" spans="1:6">
      <c r="A791" t="s">
        <v>1109</v>
      </c>
      <c r="B791" t="str">
        <f>"10677462254024487311"</f>
        <v>10677462254024487311</v>
      </c>
      <c r="C791" s="4">
        <v>45897</v>
      </c>
      <c r="D791" t="s">
        <v>241</v>
      </c>
      <c r="E791" t="s">
        <v>1110</v>
      </c>
      <c r="F791" t="s">
        <v>368</v>
      </c>
    </row>
    <row r="792" spans="1:6">
      <c r="A792" t="s">
        <v>429</v>
      </c>
      <c r="B792" t="str">
        <f>"10677462254025830486"</f>
        <v>10677462254025830486</v>
      </c>
      <c r="C792" s="4">
        <v>45898</v>
      </c>
      <c r="D792" t="s">
        <v>241</v>
      </c>
      <c r="E792" t="s">
        <v>430</v>
      </c>
      <c r="F792" t="s">
        <v>339</v>
      </c>
    </row>
    <row r="793" spans="1:6">
      <c r="A793" t="s">
        <v>1111</v>
      </c>
      <c r="B793" t="str">
        <f>"10673342253420053392"</f>
        <v>10673342253420053392</v>
      </c>
      <c r="C793" s="4">
        <v>45826</v>
      </c>
      <c r="D793" t="s">
        <v>241</v>
      </c>
      <c r="E793" t="s">
        <v>1072</v>
      </c>
      <c r="F793" t="s">
        <v>1064</v>
      </c>
    </row>
    <row r="794" spans="1:6">
      <c r="A794" t="s">
        <v>843</v>
      </c>
      <c r="B794" t="str">
        <f>"10677462254017642811"</f>
        <v>10677462254017642811</v>
      </c>
      <c r="C794" s="4">
        <v>45884</v>
      </c>
      <c r="D794" t="s">
        <v>241</v>
      </c>
      <c r="E794" t="s">
        <v>844</v>
      </c>
      <c r="F794" t="s">
        <v>828</v>
      </c>
    </row>
    <row r="795" spans="1:6">
      <c r="A795" t="s">
        <v>1112</v>
      </c>
      <c r="B795" t="str">
        <f>"10673342253422033607"</f>
        <v>10673342253422033607</v>
      </c>
      <c r="C795" s="4">
        <v>45826</v>
      </c>
      <c r="D795" t="s">
        <v>241</v>
      </c>
      <c r="E795" t="s">
        <v>1113</v>
      </c>
      <c r="F795" t="s">
        <v>1114</v>
      </c>
    </row>
    <row r="796" spans="1:6">
      <c r="A796" t="s">
        <v>845</v>
      </c>
      <c r="B796" t="str">
        <f>"10677462254017322094"</f>
        <v>10677462254017322094</v>
      </c>
      <c r="C796" s="4">
        <v>45884</v>
      </c>
      <c r="D796" t="s">
        <v>241</v>
      </c>
      <c r="E796" t="s">
        <v>846</v>
      </c>
      <c r="F796" t="s">
        <v>828</v>
      </c>
    </row>
    <row r="797" spans="1:6">
      <c r="A797" t="s">
        <v>1115</v>
      </c>
      <c r="B797" t="str">
        <f>"10673342253421633090"</f>
        <v>10673342253421633090</v>
      </c>
      <c r="C797" s="4">
        <v>45826</v>
      </c>
      <c r="D797" t="s">
        <v>241</v>
      </c>
      <c r="E797" t="s">
        <v>1116</v>
      </c>
      <c r="F797" t="s">
        <v>1114</v>
      </c>
    </row>
    <row r="798" spans="1:6">
      <c r="A798" t="s">
        <v>1117</v>
      </c>
      <c r="B798" t="str">
        <f>"10673342253421907700"</f>
        <v>10673342253421907700</v>
      </c>
      <c r="C798" s="4">
        <v>45826</v>
      </c>
      <c r="D798" t="s">
        <v>241</v>
      </c>
      <c r="E798" t="s">
        <v>1118</v>
      </c>
      <c r="F798" t="s">
        <v>1114</v>
      </c>
    </row>
    <row r="799" spans="1:6">
      <c r="A799" t="s">
        <v>1119</v>
      </c>
      <c r="B799" t="str">
        <f>"10673342253421980807"</f>
        <v>10673342253421980807</v>
      </c>
      <c r="C799" s="4">
        <v>45826</v>
      </c>
      <c r="D799" t="s">
        <v>241</v>
      </c>
      <c r="E799" t="s">
        <v>1120</v>
      </c>
      <c r="F799" t="s">
        <v>1114</v>
      </c>
    </row>
    <row r="800" spans="1:6">
      <c r="A800" t="s">
        <v>1121</v>
      </c>
      <c r="B800" t="str">
        <f>"10673342253438499430"</f>
        <v>10673342253438499430</v>
      </c>
      <c r="C800" s="4">
        <v>45735</v>
      </c>
      <c r="D800" t="s">
        <v>99</v>
      </c>
      <c r="E800" t="s">
        <v>12</v>
      </c>
      <c r="F800" t="s">
        <v>12</v>
      </c>
    </row>
    <row r="801" spans="1:6">
      <c r="A801" t="s">
        <v>1122</v>
      </c>
      <c r="B801" t="str">
        <f>"10673342253439033559"</f>
        <v>10673342253439033559</v>
      </c>
      <c r="C801" s="4">
        <v>45735</v>
      </c>
      <c r="D801" t="s">
        <v>99</v>
      </c>
      <c r="E801" t="s">
        <v>12</v>
      </c>
      <c r="F801" t="s">
        <v>12</v>
      </c>
    </row>
    <row r="802" spans="1:6">
      <c r="A802" t="s">
        <v>1123</v>
      </c>
      <c r="B802" t="str">
        <f>"10673342253442665347"</f>
        <v>10673342253442665347</v>
      </c>
      <c r="C802" s="4">
        <v>45735</v>
      </c>
      <c r="D802" t="s">
        <v>241</v>
      </c>
      <c r="E802" t="s">
        <v>1124</v>
      </c>
      <c r="F802" t="s">
        <v>1125</v>
      </c>
    </row>
    <row r="803" spans="1:6">
      <c r="A803" t="s">
        <v>1126</v>
      </c>
      <c r="B803" t="str">
        <f>"10673342253443041188"</f>
        <v>10673342253443041188</v>
      </c>
      <c r="C803" s="4">
        <v>45735</v>
      </c>
      <c r="D803" t="s">
        <v>241</v>
      </c>
      <c r="E803" t="s">
        <v>1127</v>
      </c>
      <c r="F803" t="s">
        <v>1125</v>
      </c>
    </row>
    <row r="804" spans="1:6">
      <c r="A804" t="s">
        <v>1128</v>
      </c>
      <c r="B804" t="str">
        <f>"10673342253442873219"</f>
        <v>10673342253442873219</v>
      </c>
      <c r="C804" s="4">
        <v>45735</v>
      </c>
      <c r="D804" t="s">
        <v>241</v>
      </c>
      <c r="E804" t="s">
        <v>1129</v>
      </c>
      <c r="F804" t="s">
        <v>1125</v>
      </c>
    </row>
    <row r="805" spans="1:6">
      <c r="A805" t="s">
        <v>1130</v>
      </c>
      <c r="B805" t="str">
        <f>"10673342253442642706"</f>
        <v>10673342253442642706</v>
      </c>
      <c r="C805" s="4">
        <v>45735</v>
      </c>
      <c r="D805" t="s">
        <v>99</v>
      </c>
      <c r="E805" t="s">
        <v>12</v>
      </c>
      <c r="F805" t="s">
        <v>12</v>
      </c>
    </row>
    <row r="806" spans="1:6">
      <c r="A806" t="s">
        <v>1131</v>
      </c>
      <c r="B806" t="str">
        <f>"10673342253442474137"</f>
        <v>10673342253442474137</v>
      </c>
      <c r="C806" s="4">
        <v>45735</v>
      </c>
      <c r="D806" t="s">
        <v>99</v>
      </c>
      <c r="E806" t="s">
        <v>12</v>
      </c>
      <c r="F806" t="s">
        <v>12</v>
      </c>
    </row>
    <row r="807" spans="1:6">
      <c r="A807" t="s">
        <v>1132</v>
      </c>
      <c r="B807" t="str">
        <f>"10673342253442642900"</f>
        <v>10673342253442642900</v>
      </c>
      <c r="C807" s="4">
        <v>45735</v>
      </c>
      <c r="D807" t="s">
        <v>99</v>
      </c>
      <c r="E807" t="s">
        <v>12</v>
      </c>
      <c r="F807" t="s">
        <v>12</v>
      </c>
    </row>
    <row r="808" spans="1:6">
      <c r="A808" t="s">
        <v>1133</v>
      </c>
      <c r="B808" t="str">
        <f>"10673342253442388176"</f>
        <v>10673342253442388176</v>
      </c>
      <c r="C808" s="4">
        <v>45735</v>
      </c>
      <c r="D808" t="s">
        <v>99</v>
      </c>
      <c r="E808" t="s">
        <v>12</v>
      </c>
      <c r="F808" t="s">
        <v>12</v>
      </c>
    </row>
    <row r="809" spans="1:6">
      <c r="A809" t="s">
        <v>1134</v>
      </c>
      <c r="B809" t="str">
        <f>"10673342253494414755"</f>
        <v>10673342253494414755</v>
      </c>
      <c r="C809" s="4">
        <v>45797</v>
      </c>
      <c r="D809" t="s">
        <v>241</v>
      </c>
      <c r="E809" t="s">
        <v>1135</v>
      </c>
      <c r="F809" t="s">
        <v>1136</v>
      </c>
    </row>
    <row r="810" spans="1:6">
      <c r="A810" t="s">
        <v>1137</v>
      </c>
      <c r="B810" t="str">
        <f>"10673342253494586700"</f>
        <v>10673342253494586700</v>
      </c>
      <c r="C810" s="4">
        <v>45797</v>
      </c>
      <c r="D810" t="s">
        <v>241</v>
      </c>
      <c r="E810" t="s">
        <v>1138</v>
      </c>
      <c r="F810" t="s">
        <v>1136</v>
      </c>
    </row>
    <row r="811" spans="1:6">
      <c r="A811" t="s">
        <v>1139</v>
      </c>
      <c r="B811" t="str">
        <f>"10673342253493577243"</f>
        <v>10673342253493577243</v>
      </c>
      <c r="C811" s="4">
        <v>45797</v>
      </c>
      <c r="D811" t="s">
        <v>99</v>
      </c>
      <c r="E811" t="s">
        <v>12</v>
      </c>
      <c r="F811" t="s">
        <v>12</v>
      </c>
    </row>
    <row r="812" spans="1:6">
      <c r="A812" t="s">
        <v>1140</v>
      </c>
      <c r="B812" t="str">
        <f>"10673342253494293761"</f>
        <v>10673342253494293761</v>
      </c>
      <c r="C812" s="4">
        <v>45797</v>
      </c>
      <c r="D812" t="s">
        <v>99</v>
      </c>
      <c r="E812" t="s">
        <v>12</v>
      </c>
      <c r="F812" t="s">
        <v>12</v>
      </c>
    </row>
    <row r="813" spans="1:6">
      <c r="A813" t="s">
        <v>1141</v>
      </c>
      <c r="B813" t="str">
        <f>"10673342253494003666"</f>
        <v>10673342253494003666</v>
      </c>
      <c r="C813" s="4">
        <v>45797</v>
      </c>
      <c r="D813" t="s">
        <v>99</v>
      </c>
      <c r="E813" t="s">
        <v>12</v>
      </c>
      <c r="F813" t="s">
        <v>12</v>
      </c>
    </row>
    <row r="814" spans="1:6">
      <c r="A814" t="s">
        <v>1142</v>
      </c>
      <c r="B814" t="str">
        <f>"10673342253492918632"</f>
        <v>10673342253492918632</v>
      </c>
      <c r="C814" s="4">
        <v>45797</v>
      </c>
      <c r="D814" t="s">
        <v>241</v>
      </c>
      <c r="E814" t="s">
        <v>1143</v>
      </c>
      <c r="F814" t="s">
        <v>1144</v>
      </c>
    </row>
    <row r="815" spans="1:6">
      <c r="A815" t="s">
        <v>1145</v>
      </c>
      <c r="B815" t="str">
        <f>"10673342253493288853"</f>
        <v>10673342253493288853</v>
      </c>
      <c r="C815" s="4">
        <v>45797</v>
      </c>
      <c r="D815" t="s">
        <v>99</v>
      </c>
      <c r="E815" t="s">
        <v>12</v>
      </c>
      <c r="F815" t="s">
        <v>12</v>
      </c>
    </row>
    <row r="816" spans="1:6">
      <c r="A816" t="s">
        <v>1146</v>
      </c>
      <c r="B816" t="str">
        <f>"10673342253493048952"</f>
        <v>10673342253493048952</v>
      </c>
      <c r="C816" s="4">
        <v>45797</v>
      </c>
      <c r="D816" t="s">
        <v>241</v>
      </c>
      <c r="E816" t="s">
        <v>1147</v>
      </c>
      <c r="F816" t="s">
        <v>1144</v>
      </c>
    </row>
    <row r="817" spans="1:6">
      <c r="A817" t="s">
        <v>1148</v>
      </c>
      <c r="B817" t="str">
        <f>"10673342253492359048"</f>
        <v>10673342253492359048</v>
      </c>
      <c r="C817" s="4">
        <v>45797</v>
      </c>
      <c r="D817" t="s">
        <v>241</v>
      </c>
      <c r="E817" t="s">
        <v>1149</v>
      </c>
      <c r="F817" t="s">
        <v>903</v>
      </c>
    </row>
    <row r="818" spans="1:6">
      <c r="A818" t="s">
        <v>1150</v>
      </c>
      <c r="B818" t="str">
        <f>"10673342253492897767"</f>
        <v>10673342253492897767</v>
      </c>
      <c r="C818" s="4">
        <v>45797</v>
      </c>
      <c r="D818" t="s">
        <v>241</v>
      </c>
      <c r="E818" t="s">
        <v>1151</v>
      </c>
      <c r="F818" t="s">
        <v>1152</v>
      </c>
    </row>
    <row r="819" spans="1:6">
      <c r="A819" t="s">
        <v>1153</v>
      </c>
      <c r="B819" t="str">
        <f>"10673342253492772336"</f>
        <v>10673342253492772336</v>
      </c>
      <c r="C819" s="4">
        <v>45797</v>
      </c>
      <c r="D819" t="s">
        <v>241</v>
      </c>
      <c r="E819" t="s">
        <v>1154</v>
      </c>
      <c r="F819" t="s">
        <v>1152</v>
      </c>
    </row>
    <row r="820" spans="1:6">
      <c r="A820" t="s">
        <v>1155</v>
      </c>
      <c r="B820" t="str">
        <f>"10673342253495073234"</f>
        <v>10673342253495073234</v>
      </c>
      <c r="C820" s="4">
        <v>45797</v>
      </c>
      <c r="D820" t="s">
        <v>241</v>
      </c>
      <c r="E820" t="s">
        <v>1156</v>
      </c>
      <c r="F820" t="s">
        <v>1136</v>
      </c>
    </row>
    <row r="821" spans="1:6">
      <c r="A821" t="s">
        <v>1157</v>
      </c>
      <c r="B821" t="str">
        <f>"10673342253491915079"</f>
        <v>10673342253491915079</v>
      </c>
      <c r="C821" s="4">
        <v>45797</v>
      </c>
      <c r="D821" t="s">
        <v>241</v>
      </c>
      <c r="E821" t="s">
        <v>1158</v>
      </c>
      <c r="F821" t="s">
        <v>903</v>
      </c>
    </row>
    <row r="822" spans="1:6">
      <c r="A822" t="s">
        <v>1159</v>
      </c>
      <c r="B822" t="str">
        <f>"10673342253491898948"</f>
        <v>10673342253491898948</v>
      </c>
      <c r="C822" s="4">
        <v>45797</v>
      </c>
      <c r="D822" t="s">
        <v>241</v>
      </c>
      <c r="E822" t="s">
        <v>1160</v>
      </c>
      <c r="F822" t="s">
        <v>903</v>
      </c>
    </row>
    <row r="823" spans="1:6">
      <c r="A823" t="s">
        <v>1161</v>
      </c>
      <c r="B823" t="str">
        <f>"10673342253495666626"</f>
        <v>10673342253495666626</v>
      </c>
      <c r="C823" s="4">
        <v>45797</v>
      </c>
      <c r="D823" t="s">
        <v>241</v>
      </c>
      <c r="E823" t="s">
        <v>1162</v>
      </c>
      <c r="F823" t="s">
        <v>1136</v>
      </c>
    </row>
    <row r="824" spans="1:6">
      <c r="A824" t="s">
        <v>1163</v>
      </c>
      <c r="B824" t="str">
        <f>"10673342253495967456"</f>
        <v>10673342253495967456</v>
      </c>
      <c r="C824" s="4">
        <v>45797</v>
      </c>
      <c r="D824" t="s">
        <v>241</v>
      </c>
      <c r="E824" t="s">
        <v>1164</v>
      </c>
      <c r="F824" t="s">
        <v>1144</v>
      </c>
    </row>
    <row r="825" spans="1:6">
      <c r="A825" t="s">
        <v>240</v>
      </c>
      <c r="B825" t="str">
        <f>"10673342253422361060"</f>
        <v>10673342253422361060</v>
      </c>
      <c r="C825" s="4">
        <v>45708</v>
      </c>
      <c r="D825" t="s">
        <v>99</v>
      </c>
      <c r="E825" t="s">
        <v>12</v>
      </c>
      <c r="F825" t="s">
        <v>12</v>
      </c>
    </row>
    <row r="826" spans="1:6">
      <c r="A826" t="s">
        <v>856</v>
      </c>
      <c r="B826" t="str">
        <f>"10673342253423418146"</f>
        <v>10673342253423418146</v>
      </c>
      <c r="C826" s="4">
        <v>45708</v>
      </c>
      <c r="D826" t="s">
        <v>99</v>
      </c>
      <c r="E826" t="s">
        <v>12</v>
      </c>
      <c r="F826" t="s">
        <v>12</v>
      </c>
    </row>
    <row r="827" spans="1:6">
      <c r="A827" t="s">
        <v>858</v>
      </c>
      <c r="B827" t="str">
        <f>"10673342253423418096"</f>
        <v>10673342253423418096</v>
      </c>
      <c r="C827" s="4">
        <v>45708</v>
      </c>
      <c r="D827" t="s">
        <v>99</v>
      </c>
      <c r="E827" t="s">
        <v>12</v>
      </c>
      <c r="F827" t="s">
        <v>12</v>
      </c>
    </row>
    <row r="828" spans="1:6">
      <c r="A828" t="s">
        <v>1165</v>
      </c>
      <c r="B828" t="str">
        <f>"10673342253423406279"</f>
        <v>10673342253423406279</v>
      </c>
      <c r="C828" s="4">
        <v>45708</v>
      </c>
      <c r="D828" t="s">
        <v>241</v>
      </c>
      <c r="E828" t="s">
        <v>1166</v>
      </c>
      <c r="F828" t="s">
        <v>1167</v>
      </c>
    </row>
    <row r="829" spans="1:6">
      <c r="A829" t="s">
        <v>810</v>
      </c>
      <c r="B829" t="str">
        <f>"10673342253423338290"</f>
        <v>10673342253423338290</v>
      </c>
      <c r="C829" s="4">
        <v>45708</v>
      </c>
      <c r="D829" t="s">
        <v>241</v>
      </c>
      <c r="E829" t="s">
        <v>1168</v>
      </c>
      <c r="F829" t="s">
        <v>1167</v>
      </c>
    </row>
    <row r="830" spans="1:6">
      <c r="A830" t="s">
        <v>812</v>
      </c>
      <c r="B830" t="str">
        <f>"10673342253429079106"</f>
        <v>10673342253429079106</v>
      </c>
      <c r="C830" s="4">
        <v>45716</v>
      </c>
      <c r="D830" t="s">
        <v>99</v>
      </c>
      <c r="E830" t="s">
        <v>12</v>
      </c>
      <c r="F830" t="s">
        <v>12</v>
      </c>
    </row>
    <row r="831" spans="1:6">
      <c r="A831" t="s">
        <v>251</v>
      </c>
      <c r="B831" t="str">
        <f>"10673342253424039858"</f>
        <v>10673342253424039858</v>
      </c>
      <c r="C831" s="4">
        <v>45709</v>
      </c>
      <c r="D831" t="s">
        <v>99</v>
      </c>
      <c r="E831" t="s">
        <v>12</v>
      </c>
      <c r="F831" t="s">
        <v>12</v>
      </c>
    </row>
    <row r="832" spans="1:6">
      <c r="A832" t="s">
        <v>562</v>
      </c>
      <c r="B832" t="str">
        <f>"10673342253424406702"</f>
        <v>10673342253424406702</v>
      </c>
      <c r="C832" s="4">
        <v>45709</v>
      </c>
      <c r="D832" t="s">
        <v>99</v>
      </c>
      <c r="E832" t="s">
        <v>12</v>
      </c>
      <c r="F832" t="s">
        <v>12</v>
      </c>
    </row>
    <row r="833" spans="1:6">
      <c r="A833" t="s">
        <v>654</v>
      </c>
      <c r="B833" t="str">
        <f>"10673342253423891542"</f>
        <v>10673342253423891542</v>
      </c>
      <c r="C833" s="4">
        <v>45709</v>
      </c>
      <c r="D833" t="s">
        <v>241</v>
      </c>
      <c r="E833" t="s">
        <v>1169</v>
      </c>
      <c r="F833" t="s">
        <v>1170</v>
      </c>
    </row>
    <row r="834" spans="1:6">
      <c r="A834" t="s">
        <v>659</v>
      </c>
      <c r="B834" t="str">
        <f>"10673342253423742415"</f>
        <v>10673342253423742415</v>
      </c>
      <c r="C834" s="4">
        <v>45709</v>
      </c>
      <c r="D834" t="s">
        <v>99</v>
      </c>
      <c r="E834" t="s">
        <v>12</v>
      </c>
      <c r="F834" t="s">
        <v>12</v>
      </c>
    </row>
    <row r="835" spans="1:6">
      <c r="A835" t="s">
        <v>661</v>
      </c>
      <c r="B835" t="str">
        <f>"10673342253423844684"</f>
        <v>10673342253423844684</v>
      </c>
      <c r="C835" s="4">
        <v>45709</v>
      </c>
      <c r="D835" t="s">
        <v>99</v>
      </c>
      <c r="E835" t="s">
        <v>12</v>
      </c>
      <c r="F835" t="s">
        <v>12</v>
      </c>
    </row>
    <row r="836" spans="1:6">
      <c r="A836" t="s">
        <v>847</v>
      </c>
      <c r="B836" t="str">
        <f>"10673342253424265467"</f>
        <v>10673342253424265467</v>
      </c>
      <c r="C836" s="4">
        <v>45709</v>
      </c>
      <c r="D836" t="s">
        <v>99</v>
      </c>
      <c r="E836" t="s">
        <v>12</v>
      </c>
      <c r="F836" t="s">
        <v>12</v>
      </c>
    </row>
    <row r="837" spans="1:6">
      <c r="A837" t="s">
        <v>620</v>
      </c>
      <c r="B837" t="str">
        <f>"10673342253424015592"</f>
        <v>10673342253424015592</v>
      </c>
      <c r="C837" s="4">
        <v>45709</v>
      </c>
      <c r="D837" t="s">
        <v>99</v>
      </c>
      <c r="E837" t="s">
        <v>12</v>
      </c>
      <c r="F837" t="s">
        <v>12</v>
      </c>
    </row>
    <row r="838" spans="1:6">
      <c r="A838" t="s">
        <v>624</v>
      </c>
      <c r="B838" t="str">
        <f>"10673342253423699964"</f>
        <v>10673342253423699964</v>
      </c>
      <c r="C838" s="4">
        <v>45709</v>
      </c>
      <c r="D838" t="s">
        <v>99</v>
      </c>
      <c r="E838" t="s">
        <v>12</v>
      </c>
      <c r="F838" t="s">
        <v>12</v>
      </c>
    </row>
    <row r="839" spans="1:6">
      <c r="A839" t="s">
        <v>644</v>
      </c>
      <c r="B839" t="str">
        <f>"10673342253422214350"</f>
        <v>10673342253422214350</v>
      </c>
      <c r="C839" s="4">
        <v>45708</v>
      </c>
      <c r="D839" t="s">
        <v>99</v>
      </c>
      <c r="E839" t="s">
        <v>12</v>
      </c>
      <c r="F839" t="s">
        <v>12</v>
      </c>
    </row>
    <row r="840" spans="1:6">
      <c r="A840" t="s">
        <v>646</v>
      </c>
      <c r="B840" t="str">
        <f>"10673342253421344366"</f>
        <v>10673342253421344366</v>
      </c>
      <c r="C840" s="4">
        <v>45708</v>
      </c>
      <c r="D840" t="s">
        <v>241</v>
      </c>
      <c r="E840" t="s">
        <v>1171</v>
      </c>
      <c r="F840" t="s">
        <v>784</v>
      </c>
    </row>
    <row r="841" spans="1:6">
      <c r="A841" t="s">
        <v>1172</v>
      </c>
      <c r="B841" t="str">
        <f>"10673342253421743724"</f>
        <v>10673342253421743724</v>
      </c>
      <c r="C841" s="4">
        <v>45708</v>
      </c>
      <c r="D841" t="s">
        <v>99</v>
      </c>
      <c r="E841" t="s">
        <v>12</v>
      </c>
      <c r="F841" t="s">
        <v>12</v>
      </c>
    </row>
    <row r="842" spans="1:6">
      <c r="A842" t="s">
        <v>1173</v>
      </c>
      <c r="B842" t="str">
        <f>"10673342253421541994"</f>
        <v>10673342253421541994</v>
      </c>
      <c r="C842" s="4">
        <v>45708</v>
      </c>
      <c r="D842" t="s">
        <v>241</v>
      </c>
      <c r="E842" t="s">
        <v>1174</v>
      </c>
      <c r="F842" t="s">
        <v>784</v>
      </c>
    </row>
    <row r="843" spans="1:6">
      <c r="A843" t="s">
        <v>1175</v>
      </c>
      <c r="B843" t="str">
        <f>"10673342253421268600"</f>
        <v>10673342253421268600</v>
      </c>
      <c r="C843" s="4">
        <v>45708</v>
      </c>
      <c r="D843" t="s">
        <v>241</v>
      </c>
      <c r="E843" t="s">
        <v>1176</v>
      </c>
      <c r="F843" t="s">
        <v>784</v>
      </c>
    </row>
    <row r="844" spans="1:6">
      <c r="A844" t="s">
        <v>680</v>
      </c>
      <c r="B844" t="str">
        <f>"10673342253425617995"</f>
        <v>10673342253425617995</v>
      </c>
      <c r="C844" s="4">
        <v>45713</v>
      </c>
      <c r="D844" t="s">
        <v>241</v>
      </c>
      <c r="E844" t="s">
        <v>1177</v>
      </c>
      <c r="F844" t="s">
        <v>1178</v>
      </c>
    </row>
    <row r="845" spans="1:6">
      <c r="A845" t="s">
        <v>683</v>
      </c>
      <c r="B845" t="str">
        <f>"10673342253425206464"</f>
        <v>10673342253425206464</v>
      </c>
      <c r="C845" s="4">
        <v>45713</v>
      </c>
      <c r="D845" t="s">
        <v>241</v>
      </c>
      <c r="E845" t="s">
        <v>1179</v>
      </c>
      <c r="F845" t="s">
        <v>1178</v>
      </c>
    </row>
    <row r="846" spans="1:6">
      <c r="A846" t="s">
        <v>686</v>
      </c>
      <c r="B846" t="str">
        <f>"10673342253425448190"</f>
        <v>10673342253425448190</v>
      </c>
      <c r="C846" s="4">
        <v>45713</v>
      </c>
      <c r="D846" t="s">
        <v>241</v>
      </c>
      <c r="E846" t="s">
        <v>1180</v>
      </c>
      <c r="F846" t="s">
        <v>1178</v>
      </c>
    </row>
    <row r="847" spans="1:6">
      <c r="A847" t="s">
        <v>688</v>
      </c>
      <c r="B847" t="str">
        <f>"10673342253425382068"</f>
        <v>10673342253425382068</v>
      </c>
      <c r="C847" s="4">
        <v>45713</v>
      </c>
      <c r="D847" t="s">
        <v>241</v>
      </c>
      <c r="E847" t="s">
        <v>1181</v>
      </c>
      <c r="F847" t="s">
        <v>1178</v>
      </c>
    </row>
    <row r="848" spans="1:6">
      <c r="A848" t="s">
        <v>690</v>
      </c>
      <c r="B848" t="str">
        <f>"10673342253424606906"</f>
        <v>10673342253424606906</v>
      </c>
      <c r="C848" s="4">
        <v>45713</v>
      </c>
      <c r="D848" t="s">
        <v>99</v>
      </c>
      <c r="E848" t="s">
        <v>12</v>
      </c>
      <c r="F848" t="s">
        <v>12</v>
      </c>
    </row>
    <row r="849" spans="1:6">
      <c r="A849" t="s">
        <v>264</v>
      </c>
      <c r="B849" t="str">
        <f>"10673342253429858571"</f>
        <v>10673342253429858571</v>
      </c>
      <c r="C849" s="4">
        <v>45716</v>
      </c>
      <c r="D849" t="s">
        <v>99</v>
      </c>
      <c r="E849" t="s">
        <v>12</v>
      </c>
      <c r="F849" t="s">
        <v>12</v>
      </c>
    </row>
    <row r="850" spans="1:6">
      <c r="A850" t="s">
        <v>329</v>
      </c>
      <c r="B850" t="str">
        <f>"10673342253426103928"</f>
        <v>10673342253426103928</v>
      </c>
      <c r="C850" s="4">
        <v>45713</v>
      </c>
      <c r="D850" t="s">
        <v>99</v>
      </c>
      <c r="E850" t="s">
        <v>12</v>
      </c>
      <c r="F850" t="s">
        <v>12</v>
      </c>
    </row>
    <row r="851" spans="1:6">
      <c r="A851" t="s">
        <v>330</v>
      </c>
      <c r="B851" t="str">
        <f>"10673342253426865607"</f>
        <v>10673342253426865607</v>
      </c>
      <c r="C851" s="4">
        <v>45713</v>
      </c>
      <c r="D851" t="s">
        <v>99</v>
      </c>
      <c r="E851" t="s">
        <v>12</v>
      </c>
      <c r="F851" t="s">
        <v>12</v>
      </c>
    </row>
    <row r="852" spans="1:6">
      <c r="A852" t="s">
        <v>673</v>
      </c>
      <c r="B852" t="str">
        <f>"10673342253426340504"</f>
        <v>10673342253426340504</v>
      </c>
      <c r="C852" s="4">
        <v>45713</v>
      </c>
      <c r="D852" t="s">
        <v>99</v>
      </c>
      <c r="E852" t="s">
        <v>12</v>
      </c>
      <c r="F852" t="s">
        <v>12</v>
      </c>
    </row>
    <row r="853" spans="1:6">
      <c r="A853" t="s">
        <v>675</v>
      </c>
      <c r="B853" t="str">
        <f>"10673342253425522633"</f>
        <v>10673342253425522633</v>
      </c>
      <c r="C853" s="4">
        <v>45713</v>
      </c>
      <c r="D853" t="s">
        <v>241</v>
      </c>
      <c r="E853" t="s">
        <v>1182</v>
      </c>
      <c r="F853" t="s">
        <v>1178</v>
      </c>
    </row>
    <row r="854" spans="1:6">
      <c r="A854" t="s">
        <v>1183</v>
      </c>
      <c r="B854" t="str">
        <f>"10673342253425693543"</f>
        <v>10673342253425693543</v>
      </c>
      <c r="C854" s="4">
        <v>45713</v>
      </c>
      <c r="D854" t="s">
        <v>99</v>
      </c>
      <c r="E854" t="s">
        <v>12</v>
      </c>
      <c r="F854" t="s">
        <v>12</v>
      </c>
    </row>
    <row r="855" spans="1:6">
      <c r="A855" t="s">
        <v>1184</v>
      </c>
      <c r="B855" t="str">
        <f>"10673342253425617995"</f>
        <v>10673342253425617995</v>
      </c>
      <c r="C855" s="4">
        <v>45713</v>
      </c>
      <c r="D855" t="s">
        <v>241</v>
      </c>
      <c r="E855" t="s">
        <v>1177</v>
      </c>
      <c r="F855" t="s">
        <v>1178</v>
      </c>
    </row>
    <row r="856" spans="1:6">
      <c r="A856" t="s">
        <v>1185</v>
      </c>
      <c r="B856" t="str">
        <f>"10673342253425743842"</f>
        <v>10673342253425743842</v>
      </c>
      <c r="C856" s="4">
        <v>45713</v>
      </c>
      <c r="D856" t="s">
        <v>99</v>
      </c>
      <c r="E856" t="s">
        <v>12</v>
      </c>
      <c r="F856" t="s">
        <v>12</v>
      </c>
    </row>
    <row r="857" spans="1:6">
      <c r="A857" t="s">
        <v>266</v>
      </c>
      <c r="B857" t="str">
        <f>"10673342253423301018"</f>
        <v>10673342253423301018</v>
      </c>
      <c r="C857" s="4">
        <v>45708</v>
      </c>
      <c r="D857" t="s">
        <v>241</v>
      </c>
      <c r="E857" t="s">
        <v>1186</v>
      </c>
      <c r="F857" t="s">
        <v>1167</v>
      </c>
    </row>
    <row r="858" spans="1:6">
      <c r="A858" t="s">
        <v>981</v>
      </c>
      <c r="B858" t="str">
        <f>"10673342253428991154"</f>
        <v>10673342253428991154</v>
      </c>
      <c r="C858" s="4">
        <v>45715</v>
      </c>
      <c r="D858" t="s">
        <v>241</v>
      </c>
      <c r="E858" t="s">
        <v>1187</v>
      </c>
      <c r="F858" t="s">
        <v>1188</v>
      </c>
    </row>
    <row r="859" spans="1:6">
      <c r="A859" t="s">
        <v>268</v>
      </c>
      <c r="B859" t="str">
        <f>"10673342253422960443"</f>
        <v>10673342253422960443</v>
      </c>
      <c r="C859" s="4">
        <v>45708</v>
      </c>
      <c r="D859" t="s">
        <v>241</v>
      </c>
      <c r="E859" t="s">
        <v>1189</v>
      </c>
      <c r="F859" t="s">
        <v>1167</v>
      </c>
    </row>
    <row r="860" spans="1:6">
      <c r="A860" t="s">
        <v>1190</v>
      </c>
      <c r="B860" t="str">
        <f>"10673342253427859838"</f>
        <v>10673342253427859838</v>
      </c>
      <c r="C860" s="4">
        <v>45715</v>
      </c>
      <c r="D860" t="s">
        <v>241</v>
      </c>
      <c r="E860" t="s">
        <v>1191</v>
      </c>
      <c r="F860" t="s">
        <v>1192</v>
      </c>
    </row>
    <row r="861" spans="1:6">
      <c r="A861" t="s">
        <v>697</v>
      </c>
      <c r="B861" t="str">
        <f>"10673342253427946406"</f>
        <v>10673342253427946406</v>
      </c>
      <c r="C861" s="4">
        <v>45715</v>
      </c>
      <c r="D861" t="s">
        <v>241</v>
      </c>
      <c r="E861" t="s">
        <v>1193</v>
      </c>
      <c r="F861" t="s">
        <v>1188</v>
      </c>
    </row>
    <row r="862" spans="1:6">
      <c r="A862" t="s">
        <v>700</v>
      </c>
      <c r="B862" t="str">
        <f>"10673342253428424381"</f>
        <v>10673342253428424381</v>
      </c>
      <c r="C862" s="4">
        <v>45715</v>
      </c>
      <c r="D862" t="s">
        <v>241</v>
      </c>
      <c r="E862" t="s">
        <v>1194</v>
      </c>
      <c r="F862" t="s">
        <v>1188</v>
      </c>
    </row>
    <row r="863" spans="1:6">
      <c r="A863" t="s">
        <v>985</v>
      </c>
      <c r="B863" t="str">
        <f>"10673342253427937172"</f>
        <v>10673342253427937172</v>
      </c>
      <c r="C863" s="4">
        <v>45715</v>
      </c>
      <c r="D863" t="s">
        <v>241</v>
      </c>
      <c r="E863" t="s">
        <v>1195</v>
      </c>
      <c r="F863" t="s">
        <v>1192</v>
      </c>
    </row>
    <row r="864" spans="1:6">
      <c r="A864" t="s">
        <v>702</v>
      </c>
      <c r="B864" t="str">
        <f>"10673342253427226438"</f>
        <v>10673342253427226438</v>
      </c>
      <c r="C864" s="4">
        <v>45715</v>
      </c>
      <c r="D864" t="s">
        <v>241</v>
      </c>
      <c r="E864" t="s">
        <v>1196</v>
      </c>
      <c r="F864" t="s">
        <v>1197</v>
      </c>
    </row>
    <row r="865" spans="1:6">
      <c r="A865" t="s">
        <v>704</v>
      </c>
      <c r="B865" t="str">
        <f>"10673342253427163916"</f>
        <v>10673342253427163916</v>
      </c>
      <c r="C865" s="4">
        <v>45715</v>
      </c>
      <c r="D865" t="s">
        <v>241</v>
      </c>
      <c r="E865" t="s">
        <v>1198</v>
      </c>
      <c r="F865" t="s">
        <v>1197</v>
      </c>
    </row>
    <row r="866" spans="1:6">
      <c r="A866" t="s">
        <v>988</v>
      </c>
      <c r="B866" t="str">
        <f>"10673342253427890389"</f>
        <v>10673342253427890389</v>
      </c>
      <c r="C866" s="4">
        <v>45715</v>
      </c>
      <c r="D866" t="s">
        <v>241</v>
      </c>
      <c r="E866" t="s">
        <v>1199</v>
      </c>
      <c r="F866" t="s">
        <v>1197</v>
      </c>
    </row>
    <row r="867" spans="1:6">
      <c r="A867" t="s">
        <v>989</v>
      </c>
      <c r="B867" t="str">
        <f>"10673342253427140606"</f>
        <v>10673342253427140606</v>
      </c>
      <c r="C867" s="4">
        <v>45715</v>
      </c>
      <c r="D867" t="s">
        <v>241</v>
      </c>
      <c r="E867" t="s">
        <v>1200</v>
      </c>
      <c r="F867" t="s">
        <v>1197</v>
      </c>
    </row>
    <row r="868" spans="1:6">
      <c r="A868" t="s">
        <v>990</v>
      </c>
      <c r="B868" t="str">
        <f>"10673342253427118953"</f>
        <v>10673342253427118953</v>
      </c>
      <c r="C868" s="4">
        <v>45715</v>
      </c>
      <c r="D868" t="s">
        <v>241</v>
      </c>
      <c r="E868" t="s">
        <v>1201</v>
      </c>
      <c r="F868" t="s">
        <v>1197</v>
      </c>
    </row>
    <row r="869" spans="1:6">
      <c r="A869" t="s">
        <v>270</v>
      </c>
      <c r="B869" t="str">
        <f>"10673342253422467380"</f>
        <v>10673342253422467380</v>
      </c>
      <c r="C869" s="4">
        <v>45708</v>
      </c>
      <c r="D869" t="s">
        <v>241</v>
      </c>
      <c r="E869" t="s">
        <v>1202</v>
      </c>
      <c r="F869" t="s">
        <v>1167</v>
      </c>
    </row>
    <row r="870" spans="1:6">
      <c r="A870" t="s">
        <v>272</v>
      </c>
      <c r="B870" t="str">
        <f>"10673342253422422093"</f>
        <v>10673342253422422093</v>
      </c>
      <c r="C870" s="4">
        <v>45708</v>
      </c>
      <c r="D870" t="s">
        <v>99</v>
      </c>
      <c r="E870" t="s">
        <v>12</v>
      </c>
      <c r="F870" t="s">
        <v>12</v>
      </c>
    </row>
    <row r="871" spans="1:6">
      <c r="A871" t="s">
        <v>620</v>
      </c>
      <c r="B871" t="str">
        <f>"10673342253430123443"</f>
        <v>10673342253430123443</v>
      </c>
      <c r="C871" s="4">
        <v>45720</v>
      </c>
      <c r="D871" t="s">
        <v>99</v>
      </c>
      <c r="E871" t="s">
        <v>12</v>
      </c>
      <c r="F871" t="s">
        <v>12</v>
      </c>
    </row>
    <row r="872" spans="1:6">
      <c r="A872" t="s">
        <v>623</v>
      </c>
      <c r="B872" t="str">
        <f>"10673342253430615776"</f>
        <v>10673342253430615776</v>
      </c>
      <c r="C872" s="4">
        <v>45720</v>
      </c>
      <c r="D872" t="s">
        <v>99</v>
      </c>
      <c r="E872" t="s">
        <v>12</v>
      </c>
      <c r="F872" t="s">
        <v>12</v>
      </c>
    </row>
    <row r="873" spans="1:6">
      <c r="A873" t="s">
        <v>624</v>
      </c>
      <c r="B873" t="str">
        <f>"10673342253430141286"</f>
        <v>10673342253430141286</v>
      </c>
      <c r="C873" s="4">
        <v>45720</v>
      </c>
      <c r="D873" t="s">
        <v>99</v>
      </c>
      <c r="E873" t="s">
        <v>12</v>
      </c>
      <c r="F873" t="s">
        <v>12</v>
      </c>
    </row>
    <row r="874" spans="1:6">
      <c r="A874" t="s">
        <v>634</v>
      </c>
      <c r="B874" t="str">
        <f>"10673342253431241977"</f>
        <v>10673342253431241977</v>
      </c>
      <c r="C874" s="4">
        <v>45721</v>
      </c>
      <c r="D874" t="s">
        <v>241</v>
      </c>
      <c r="E874" t="s">
        <v>1203</v>
      </c>
      <c r="F874" t="s">
        <v>1204</v>
      </c>
    </row>
    <row r="875" spans="1:6">
      <c r="A875" t="s">
        <v>637</v>
      </c>
      <c r="B875" t="str">
        <f>"10673342253432779571"</f>
        <v>10673342253432779571</v>
      </c>
      <c r="C875" s="4">
        <v>45721</v>
      </c>
      <c r="D875" t="s">
        <v>99</v>
      </c>
      <c r="E875" t="s">
        <v>12</v>
      </c>
      <c r="F875" t="s">
        <v>12</v>
      </c>
    </row>
    <row r="876" spans="1:6">
      <c r="A876" t="s">
        <v>638</v>
      </c>
      <c r="B876" t="str">
        <f>"10673342253432260247"</f>
        <v>10673342253432260247</v>
      </c>
      <c r="C876" s="4">
        <v>45721</v>
      </c>
      <c r="D876" t="s">
        <v>241</v>
      </c>
      <c r="E876" t="s">
        <v>1205</v>
      </c>
      <c r="F876" t="s">
        <v>1206</v>
      </c>
    </row>
    <row r="877" spans="1:6">
      <c r="A877" t="s">
        <v>641</v>
      </c>
      <c r="B877" t="str">
        <f>"10673342253432303747"</f>
        <v>10673342253432303747</v>
      </c>
      <c r="C877" s="4">
        <v>45721</v>
      </c>
      <c r="D877" t="s">
        <v>241</v>
      </c>
      <c r="E877" t="s">
        <v>1207</v>
      </c>
      <c r="F877" t="s">
        <v>1206</v>
      </c>
    </row>
    <row r="878" spans="1:6">
      <c r="A878" t="s">
        <v>644</v>
      </c>
      <c r="B878" t="str">
        <f>"10673342253432858943"</f>
        <v>10673342253432858943</v>
      </c>
      <c r="C878" s="4">
        <v>45721</v>
      </c>
      <c r="D878" t="s">
        <v>99</v>
      </c>
      <c r="E878" t="s">
        <v>12</v>
      </c>
      <c r="F878" t="s">
        <v>12</v>
      </c>
    </row>
    <row r="879" spans="1:6">
      <c r="A879" t="s">
        <v>1172</v>
      </c>
      <c r="B879" t="str">
        <f>"10673342253425743842"</f>
        <v>10673342253425743842</v>
      </c>
      <c r="C879" s="4">
        <v>45713</v>
      </c>
      <c r="D879" t="s">
        <v>99</v>
      </c>
      <c r="E879" t="s">
        <v>12</v>
      </c>
      <c r="F879" t="s">
        <v>12</v>
      </c>
    </row>
    <row r="880" spans="1:6">
      <c r="A880" t="s">
        <v>1173</v>
      </c>
      <c r="B880" t="str">
        <f>"10673342253425522633"</f>
        <v>10673342253425522633</v>
      </c>
      <c r="C880" s="4">
        <v>45713</v>
      </c>
      <c r="D880" t="s">
        <v>241</v>
      </c>
      <c r="E880" t="s">
        <v>1182</v>
      </c>
      <c r="F880" t="s">
        <v>1178</v>
      </c>
    </row>
    <row r="881" spans="1:6">
      <c r="A881" t="s">
        <v>1175</v>
      </c>
      <c r="B881" t="str">
        <f>"10673342253425693543"</f>
        <v>10673342253425693543</v>
      </c>
      <c r="C881" s="4">
        <v>45713</v>
      </c>
      <c r="D881" t="s">
        <v>99</v>
      </c>
      <c r="E881" t="s">
        <v>12</v>
      </c>
      <c r="F881" t="s">
        <v>12</v>
      </c>
    </row>
    <row r="882" spans="1:6">
      <c r="A882" t="s">
        <v>680</v>
      </c>
      <c r="B882" t="str">
        <f>"10673342253425617995"</f>
        <v>10673342253425617995</v>
      </c>
      <c r="C882" s="4">
        <v>45713</v>
      </c>
      <c r="D882" t="s">
        <v>241</v>
      </c>
      <c r="E882" t="s">
        <v>1177</v>
      </c>
      <c r="F882" t="s">
        <v>1178</v>
      </c>
    </row>
    <row r="883" spans="1:6">
      <c r="A883" t="s">
        <v>683</v>
      </c>
      <c r="B883" t="str">
        <f>"10673342253425206464"</f>
        <v>10673342253425206464</v>
      </c>
      <c r="C883" s="4">
        <v>45713</v>
      </c>
      <c r="D883" t="s">
        <v>241</v>
      </c>
      <c r="E883" t="s">
        <v>1179</v>
      </c>
      <c r="F883" t="s">
        <v>1178</v>
      </c>
    </row>
    <row r="884" spans="1:6">
      <c r="A884" t="s">
        <v>686</v>
      </c>
      <c r="B884" t="str">
        <f>"10673342253425448190"</f>
        <v>10673342253425448190</v>
      </c>
      <c r="C884" s="4">
        <v>45713</v>
      </c>
      <c r="D884" t="s">
        <v>241</v>
      </c>
      <c r="E884" t="s">
        <v>1180</v>
      </c>
      <c r="F884" t="s">
        <v>1178</v>
      </c>
    </row>
    <row r="885" spans="1:6">
      <c r="A885" t="s">
        <v>688</v>
      </c>
      <c r="B885" t="str">
        <f>"10673342253425382068"</f>
        <v>10673342253425382068</v>
      </c>
      <c r="C885" s="4">
        <v>45713</v>
      </c>
      <c r="D885" t="s">
        <v>241</v>
      </c>
      <c r="E885" t="s">
        <v>1181</v>
      </c>
      <c r="F885" t="s">
        <v>1178</v>
      </c>
    </row>
    <row r="886" spans="1:6">
      <c r="A886" t="s">
        <v>690</v>
      </c>
      <c r="B886" t="str">
        <f>"10673342253424606906"</f>
        <v>10673342253424606906</v>
      </c>
      <c r="C886" s="4">
        <v>45713</v>
      </c>
      <c r="D886" t="s">
        <v>99</v>
      </c>
      <c r="E886" t="s">
        <v>12</v>
      </c>
      <c r="F886" t="s">
        <v>12</v>
      </c>
    </row>
    <row r="887" spans="1:6">
      <c r="A887" t="s">
        <v>981</v>
      </c>
      <c r="B887" t="str">
        <f>"10673342253428991154"</f>
        <v>10673342253428991154</v>
      </c>
      <c r="C887" s="4">
        <v>45715</v>
      </c>
      <c r="D887" t="s">
        <v>241</v>
      </c>
      <c r="E887" t="s">
        <v>1187</v>
      </c>
      <c r="F887" t="s">
        <v>1188</v>
      </c>
    </row>
    <row r="888" spans="1:6">
      <c r="A888" t="s">
        <v>1190</v>
      </c>
      <c r="B888" t="str">
        <f>"10673342253427859838"</f>
        <v>10673342253427859838</v>
      </c>
      <c r="C888" s="4">
        <v>45715</v>
      </c>
      <c r="D888" t="s">
        <v>241</v>
      </c>
      <c r="E888" t="s">
        <v>1191</v>
      </c>
      <c r="F888" t="s">
        <v>1192</v>
      </c>
    </row>
    <row r="889" spans="1:6">
      <c r="A889" t="s">
        <v>697</v>
      </c>
      <c r="B889" t="str">
        <f>"10673342253427946406"</f>
        <v>10673342253427946406</v>
      </c>
      <c r="C889" s="4">
        <v>45715</v>
      </c>
      <c r="D889" t="s">
        <v>241</v>
      </c>
      <c r="E889" t="s">
        <v>1193</v>
      </c>
      <c r="F889" t="s">
        <v>1188</v>
      </c>
    </row>
    <row r="890" spans="1:6">
      <c r="A890" t="s">
        <v>700</v>
      </c>
      <c r="B890" t="str">
        <f>"10673342253428424381"</f>
        <v>10673342253428424381</v>
      </c>
      <c r="C890" s="4">
        <v>45715</v>
      </c>
      <c r="D890" t="s">
        <v>241</v>
      </c>
      <c r="E890" t="s">
        <v>1194</v>
      </c>
      <c r="F890" t="s">
        <v>1188</v>
      </c>
    </row>
    <row r="891" spans="1:6">
      <c r="A891" t="s">
        <v>985</v>
      </c>
      <c r="B891" t="str">
        <f>"10673342253427937172"</f>
        <v>10673342253427937172</v>
      </c>
      <c r="C891" s="4">
        <v>45715</v>
      </c>
      <c r="D891" t="s">
        <v>241</v>
      </c>
      <c r="E891" t="s">
        <v>1195</v>
      </c>
      <c r="F891" t="s">
        <v>1192</v>
      </c>
    </row>
    <row r="892" spans="1:6">
      <c r="A892" t="s">
        <v>702</v>
      </c>
      <c r="B892" t="str">
        <f>"10673342253427226438"</f>
        <v>10673342253427226438</v>
      </c>
      <c r="C892" s="4">
        <v>45715</v>
      </c>
      <c r="D892" t="s">
        <v>241</v>
      </c>
      <c r="E892" t="s">
        <v>1196</v>
      </c>
      <c r="F892" t="s">
        <v>1197</v>
      </c>
    </row>
    <row r="893" spans="1:6">
      <c r="A893" t="s">
        <v>704</v>
      </c>
      <c r="B893" t="str">
        <f>"10673342253427163916"</f>
        <v>10673342253427163916</v>
      </c>
      <c r="C893" s="4">
        <v>45715</v>
      </c>
      <c r="D893" t="s">
        <v>241</v>
      </c>
      <c r="E893" t="s">
        <v>1198</v>
      </c>
      <c r="F893" t="s">
        <v>1197</v>
      </c>
    </row>
    <row r="894" spans="1:6">
      <c r="A894" t="s">
        <v>988</v>
      </c>
      <c r="B894" t="str">
        <f>"10673342253427890389"</f>
        <v>10673342253427890389</v>
      </c>
      <c r="C894" s="4">
        <v>45715</v>
      </c>
      <c r="D894" t="s">
        <v>241</v>
      </c>
      <c r="E894" t="s">
        <v>1199</v>
      </c>
      <c r="F894" t="s">
        <v>1197</v>
      </c>
    </row>
    <row r="895" spans="1:6">
      <c r="A895" t="s">
        <v>989</v>
      </c>
      <c r="B895" t="str">
        <f>"10673342253427140606"</f>
        <v>10673342253427140606</v>
      </c>
      <c r="C895" s="4">
        <v>45715</v>
      </c>
      <c r="D895" t="s">
        <v>241</v>
      </c>
      <c r="E895" t="s">
        <v>1200</v>
      </c>
      <c r="F895" t="s">
        <v>1197</v>
      </c>
    </row>
    <row r="896" spans="1:6">
      <c r="A896" t="s">
        <v>990</v>
      </c>
      <c r="B896" t="str">
        <f>"10673342253427118953"</f>
        <v>10673342253427118953</v>
      </c>
      <c r="C896" s="4">
        <v>45715</v>
      </c>
      <c r="D896" t="s">
        <v>241</v>
      </c>
      <c r="E896" t="s">
        <v>1201</v>
      </c>
      <c r="F896" t="s">
        <v>1197</v>
      </c>
    </row>
    <row r="897" spans="1:6">
      <c r="A897" t="s">
        <v>991</v>
      </c>
      <c r="B897" t="str">
        <f>"10673342253433984470"</f>
        <v>10673342253433984470</v>
      </c>
      <c r="C897" s="4">
        <v>45727</v>
      </c>
      <c r="D897" t="s">
        <v>241</v>
      </c>
      <c r="E897" t="s">
        <v>1208</v>
      </c>
      <c r="F897" t="s">
        <v>324</v>
      </c>
    </row>
    <row r="898" spans="1:6">
      <c r="A898" t="s">
        <v>1209</v>
      </c>
      <c r="B898" t="str">
        <f>"10673342253497229940"</f>
        <v>10673342253497229940</v>
      </c>
      <c r="C898" s="4">
        <v>45798</v>
      </c>
      <c r="D898" t="s">
        <v>241</v>
      </c>
      <c r="E898" t="s">
        <v>1210</v>
      </c>
      <c r="F898" t="s">
        <v>1211</v>
      </c>
    </row>
    <row r="899" spans="1:6">
      <c r="A899" t="s">
        <v>1212</v>
      </c>
      <c r="B899" t="str">
        <f>"10673342253496675262"</f>
        <v>10673342253496675262</v>
      </c>
      <c r="C899" s="4">
        <v>45798</v>
      </c>
      <c r="D899" t="s">
        <v>241</v>
      </c>
      <c r="E899" t="s">
        <v>1213</v>
      </c>
      <c r="F899" t="s">
        <v>1144</v>
      </c>
    </row>
    <row r="900" spans="1:6">
      <c r="A900" t="s">
        <v>1214</v>
      </c>
      <c r="B900" t="str">
        <f>"10673342253497223683"</f>
        <v>10673342253497223683</v>
      </c>
      <c r="C900" s="4">
        <v>45798</v>
      </c>
      <c r="D900" t="s">
        <v>241</v>
      </c>
      <c r="E900" t="s">
        <v>1215</v>
      </c>
      <c r="F900" t="s">
        <v>1211</v>
      </c>
    </row>
    <row r="901" spans="1:6">
      <c r="A901" t="s">
        <v>1216</v>
      </c>
      <c r="B901" t="str">
        <f>"10673342253496895513"</f>
        <v>10673342253496895513</v>
      </c>
      <c r="C901" s="4">
        <v>45798</v>
      </c>
      <c r="D901" t="s">
        <v>241</v>
      </c>
      <c r="E901" t="s">
        <v>1217</v>
      </c>
      <c r="F901" t="s">
        <v>1211</v>
      </c>
    </row>
    <row r="902" spans="1:6">
      <c r="A902" t="s">
        <v>626</v>
      </c>
      <c r="B902" t="str">
        <f>"10673342253474070201"</f>
        <v>10673342253474070201</v>
      </c>
      <c r="C902" s="4">
        <v>45770</v>
      </c>
      <c r="D902" t="s">
        <v>99</v>
      </c>
      <c r="E902" t="s">
        <v>12</v>
      </c>
      <c r="F902" t="s">
        <v>12</v>
      </c>
    </row>
    <row r="903" spans="1:6">
      <c r="A903" t="s">
        <v>628</v>
      </c>
      <c r="B903" t="str">
        <f>"10673342253473190920"</f>
        <v>10673342253473190920</v>
      </c>
      <c r="C903" s="4">
        <v>45770</v>
      </c>
      <c r="D903" t="s">
        <v>99</v>
      </c>
      <c r="E903" t="s">
        <v>12</v>
      </c>
      <c r="F903" t="s">
        <v>12</v>
      </c>
    </row>
    <row r="904" spans="1:6">
      <c r="A904" t="s">
        <v>630</v>
      </c>
      <c r="B904" t="str">
        <f>"10673342253473935934"</f>
        <v>10673342253473935934</v>
      </c>
      <c r="C904" s="4">
        <v>45770</v>
      </c>
      <c r="D904" t="s">
        <v>99</v>
      </c>
      <c r="E904" t="s">
        <v>12</v>
      </c>
      <c r="F904" t="s">
        <v>12</v>
      </c>
    </row>
    <row r="905" spans="1:6">
      <c r="A905" t="s">
        <v>631</v>
      </c>
      <c r="B905" t="str">
        <f>"10673342253473494350"</f>
        <v>10673342253473494350</v>
      </c>
      <c r="C905" s="4">
        <v>45770</v>
      </c>
      <c r="D905" t="s">
        <v>99</v>
      </c>
      <c r="E905" t="s">
        <v>12</v>
      </c>
      <c r="F905" t="s">
        <v>12</v>
      </c>
    </row>
    <row r="906" spans="1:6">
      <c r="A906" t="s">
        <v>632</v>
      </c>
      <c r="B906" t="str">
        <f>"10673342253472072428"</f>
        <v>10673342253472072428</v>
      </c>
      <c r="C906" s="4">
        <v>45770</v>
      </c>
      <c r="D906" t="s">
        <v>241</v>
      </c>
      <c r="E906" t="s">
        <v>1218</v>
      </c>
      <c r="F906" t="s">
        <v>1219</v>
      </c>
    </row>
    <row r="907" spans="1:6">
      <c r="A907" t="s">
        <v>633</v>
      </c>
      <c r="B907" t="str">
        <f>"10673342253473169069"</f>
        <v>10673342253473169069</v>
      </c>
      <c r="C907" s="4">
        <v>45770</v>
      </c>
      <c r="D907" t="s">
        <v>241</v>
      </c>
      <c r="E907" t="s">
        <v>1220</v>
      </c>
      <c r="F907" t="s">
        <v>1219</v>
      </c>
    </row>
    <row r="908" spans="1:6">
      <c r="A908" t="s">
        <v>634</v>
      </c>
      <c r="B908" t="str">
        <f>"10673342253472440354"</f>
        <v>10673342253472440354</v>
      </c>
      <c r="C908" s="4">
        <v>45770</v>
      </c>
      <c r="D908" t="s">
        <v>241</v>
      </c>
      <c r="E908" t="s">
        <v>1221</v>
      </c>
      <c r="F908" t="s">
        <v>1219</v>
      </c>
    </row>
    <row r="909" spans="1:6">
      <c r="A909" t="s">
        <v>637</v>
      </c>
      <c r="B909" t="str">
        <f>"10673342253471375451"</f>
        <v>10673342253471375451</v>
      </c>
      <c r="C909" s="4">
        <v>45770</v>
      </c>
      <c r="D909" t="s">
        <v>241</v>
      </c>
      <c r="E909" t="s">
        <v>1222</v>
      </c>
      <c r="F909" t="s">
        <v>1223</v>
      </c>
    </row>
    <row r="910" spans="1:6">
      <c r="A910" t="s">
        <v>638</v>
      </c>
      <c r="B910" t="str">
        <f>"10673342253472070735"</f>
        <v>10673342253472070735</v>
      </c>
      <c r="C910" s="4">
        <v>45770</v>
      </c>
      <c r="D910" t="s">
        <v>241</v>
      </c>
      <c r="E910" t="s">
        <v>1224</v>
      </c>
      <c r="F910" t="s">
        <v>1219</v>
      </c>
    </row>
    <row r="911" spans="1:6">
      <c r="A911" t="s">
        <v>641</v>
      </c>
      <c r="B911" t="str">
        <f>"10673342253471379759"</f>
        <v>10673342253471379759</v>
      </c>
      <c r="C911" s="4">
        <v>45770</v>
      </c>
      <c r="D911" t="s">
        <v>241</v>
      </c>
      <c r="E911" t="s">
        <v>1225</v>
      </c>
      <c r="F911" t="s">
        <v>1223</v>
      </c>
    </row>
    <row r="912" spans="1:6">
      <c r="A912" t="s">
        <v>644</v>
      </c>
      <c r="B912" t="str">
        <f>"10673342253471105284"</f>
        <v>10673342253471105284</v>
      </c>
      <c r="C912" s="4">
        <v>45770</v>
      </c>
      <c r="D912" t="s">
        <v>241</v>
      </c>
      <c r="E912" t="s">
        <v>1226</v>
      </c>
      <c r="F912" t="s">
        <v>672</v>
      </c>
    </row>
    <row r="913" spans="1:6">
      <c r="A913" t="s">
        <v>646</v>
      </c>
      <c r="B913" t="str">
        <f>"10673342253471250284"</f>
        <v>10673342253471250284</v>
      </c>
      <c r="C913" s="4">
        <v>45770</v>
      </c>
      <c r="D913" t="s">
        <v>241</v>
      </c>
      <c r="E913" t="s">
        <v>1227</v>
      </c>
      <c r="F913" t="s">
        <v>672</v>
      </c>
    </row>
    <row r="914" spans="1:6">
      <c r="A914" t="s">
        <v>1172</v>
      </c>
      <c r="B914" t="str">
        <f>"10673342253470660705"</f>
        <v>10673342253470660705</v>
      </c>
      <c r="C914" s="4">
        <v>45770</v>
      </c>
      <c r="D914" t="s">
        <v>99</v>
      </c>
      <c r="E914" t="s">
        <v>12</v>
      </c>
      <c r="F914" t="s">
        <v>12</v>
      </c>
    </row>
    <row r="915" spans="1:6">
      <c r="A915" t="s">
        <v>1173</v>
      </c>
      <c r="B915" t="str">
        <f>"10673342253475269311"</f>
        <v>10673342253475269311</v>
      </c>
      <c r="C915" s="4">
        <v>45770</v>
      </c>
      <c r="D915" t="s">
        <v>99</v>
      </c>
      <c r="E915" t="s">
        <v>12</v>
      </c>
      <c r="F915" t="s">
        <v>12</v>
      </c>
    </row>
    <row r="916" spans="1:6">
      <c r="A916" t="s">
        <v>1175</v>
      </c>
      <c r="B916" t="str">
        <f>"10673342253470864017"</f>
        <v>10673342253470864017</v>
      </c>
      <c r="C916" s="4">
        <v>45770</v>
      </c>
      <c r="D916" t="s">
        <v>99</v>
      </c>
      <c r="E916" t="s">
        <v>12</v>
      </c>
      <c r="F916" t="s">
        <v>12</v>
      </c>
    </row>
    <row r="917" spans="1:6">
      <c r="A917" t="s">
        <v>680</v>
      </c>
      <c r="B917" t="str">
        <f>"10673342253474701384"</f>
        <v>10673342253474701384</v>
      </c>
      <c r="C917" s="4">
        <v>45770</v>
      </c>
      <c r="D917" t="s">
        <v>241</v>
      </c>
      <c r="E917" t="s">
        <v>1228</v>
      </c>
      <c r="F917" t="s">
        <v>1223</v>
      </c>
    </row>
    <row r="918" spans="1:6">
      <c r="A918" t="s">
        <v>683</v>
      </c>
      <c r="B918" t="str">
        <f>"10673342253475197795"</f>
        <v>10673342253475197795</v>
      </c>
      <c r="C918" s="4">
        <v>45770</v>
      </c>
      <c r="D918" t="s">
        <v>241</v>
      </c>
      <c r="E918" t="s">
        <v>1229</v>
      </c>
      <c r="F918" t="s">
        <v>1230</v>
      </c>
    </row>
    <row r="919" spans="1:6">
      <c r="A919" t="s">
        <v>686</v>
      </c>
      <c r="B919" t="str">
        <f>"10673342253475054692"</f>
        <v>10673342253475054692</v>
      </c>
      <c r="C919" s="4">
        <v>45770</v>
      </c>
      <c r="D919" t="s">
        <v>241</v>
      </c>
      <c r="E919" t="s">
        <v>1231</v>
      </c>
      <c r="F919" t="s">
        <v>1152</v>
      </c>
    </row>
    <row r="920" spans="1:6">
      <c r="A920" t="s">
        <v>688</v>
      </c>
      <c r="B920" t="str">
        <f>"10673342253474553822"</f>
        <v>10673342253474553822</v>
      </c>
      <c r="C920" s="4">
        <v>45770</v>
      </c>
      <c r="D920" t="s">
        <v>241</v>
      </c>
      <c r="E920" t="s">
        <v>1232</v>
      </c>
      <c r="F920" t="s">
        <v>1233</v>
      </c>
    </row>
    <row r="921" spans="1:6">
      <c r="A921" t="s">
        <v>690</v>
      </c>
      <c r="B921" t="str">
        <f>"10673342253474463092"</f>
        <v>10673342253474463092</v>
      </c>
      <c r="C921" s="4">
        <v>45770</v>
      </c>
      <c r="D921" t="s">
        <v>241</v>
      </c>
      <c r="E921" t="s">
        <v>1234</v>
      </c>
      <c r="F921" t="s">
        <v>1233</v>
      </c>
    </row>
    <row r="922" spans="1:6">
      <c r="A922" t="s">
        <v>322</v>
      </c>
      <c r="B922" t="str">
        <f>"10673342253474614490"</f>
        <v>10673342253474614490</v>
      </c>
      <c r="C922" s="4">
        <v>45770</v>
      </c>
      <c r="D922" t="s">
        <v>241</v>
      </c>
      <c r="E922" t="s">
        <v>1235</v>
      </c>
      <c r="F922" t="s">
        <v>1223</v>
      </c>
    </row>
    <row r="923" spans="1:6">
      <c r="A923" t="s">
        <v>325</v>
      </c>
      <c r="B923" t="str">
        <f>"10673342253474225469"</f>
        <v>10673342253474225469</v>
      </c>
      <c r="C923" s="4">
        <v>45770</v>
      </c>
      <c r="D923" t="s">
        <v>241</v>
      </c>
      <c r="E923" t="s">
        <v>1236</v>
      </c>
      <c r="F923" t="s">
        <v>1233</v>
      </c>
    </row>
    <row r="924" spans="1:6">
      <c r="A924" t="s">
        <v>327</v>
      </c>
      <c r="B924" t="str">
        <f>"10673342253474354161"</f>
        <v>10673342253474354161</v>
      </c>
      <c r="C924" s="4">
        <v>45770</v>
      </c>
      <c r="D924" t="s">
        <v>241</v>
      </c>
      <c r="E924" t="s">
        <v>1237</v>
      </c>
      <c r="F924" t="s">
        <v>1233</v>
      </c>
    </row>
    <row r="925" spans="1:6">
      <c r="A925" t="s">
        <v>1238</v>
      </c>
      <c r="B925" t="str">
        <f>"10673342253497626508"</f>
        <v>10673342253497626508</v>
      </c>
      <c r="C925" s="4">
        <v>45799</v>
      </c>
      <c r="D925" t="s">
        <v>241</v>
      </c>
      <c r="E925" t="s">
        <v>1239</v>
      </c>
      <c r="F925" t="s">
        <v>1240</v>
      </c>
    </row>
    <row r="926" spans="1:6">
      <c r="A926" t="s">
        <v>1241</v>
      </c>
      <c r="B926" t="str">
        <f>"10673342253497533283"</f>
        <v>10673342253497533283</v>
      </c>
      <c r="C926" s="4">
        <v>45799</v>
      </c>
      <c r="D926" t="s">
        <v>241</v>
      </c>
      <c r="E926" t="s">
        <v>1242</v>
      </c>
      <c r="F926" t="s">
        <v>1240</v>
      </c>
    </row>
    <row r="927" spans="1:6">
      <c r="A927" t="s">
        <v>1243</v>
      </c>
      <c r="B927" t="str">
        <f>"10673342253497702557"</f>
        <v>10673342253497702557</v>
      </c>
      <c r="C927" s="4">
        <v>45799</v>
      </c>
      <c r="D927" t="s">
        <v>241</v>
      </c>
      <c r="E927" t="s">
        <v>1244</v>
      </c>
      <c r="F927" t="s">
        <v>1240</v>
      </c>
    </row>
    <row r="928" spans="1:6">
      <c r="A928" t="s">
        <v>1245</v>
      </c>
      <c r="B928" t="str">
        <f>"10673342253497691896"</f>
        <v>10673342253497691896</v>
      </c>
      <c r="C928" s="4">
        <v>45799</v>
      </c>
      <c r="D928" t="s">
        <v>241</v>
      </c>
      <c r="E928" t="s">
        <v>1246</v>
      </c>
      <c r="F928" t="s">
        <v>1240</v>
      </c>
    </row>
    <row r="929" spans="1:6">
      <c r="A929" t="s">
        <v>1247</v>
      </c>
      <c r="B929" t="str">
        <f>"10673342253498791723"</f>
        <v>10673342253498791723</v>
      </c>
      <c r="C929" s="4">
        <v>45799</v>
      </c>
      <c r="D929" t="s">
        <v>241</v>
      </c>
      <c r="E929" t="s">
        <v>1248</v>
      </c>
      <c r="F929" t="s">
        <v>1249</v>
      </c>
    </row>
    <row r="930" spans="1:6">
      <c r="A930" t="s">
        <v>1250</v>
      </c>
      <c r="B930" t="str">
        <f>"10673342253497803280"</f>
        <v>10673342253497803280</v>
      </c>
      <c r="C930" s="4">
        <v>45799</v>
      </c>
      <c r="D930" t="s">
        <v>241</v>
      </c>
      <c r="E930" t="s">
        <v>1251</v>
      </c>
      <c r="F930" t="s">
        <v>1252</v>
      </c>
    </row>
    <row r="931" spans="1:6">
      <c r="A931" t="s">
        <v>1253</v>
      </c>
      <c r="B931" t="str">
        <f>"10673342253497452666"</f>
        <v>10673342253497452666</v>
      </c>
      <c r="C931" s="4">
        <v>45799</v>
      </c>
      <c r="D931" t="s">
        <v>241</v>
      </c>
      <c r="E931" t="s">
        <v>1254</v>
      </c>
      <c r="F931" t="s">
        <v>1211</v>
      </c>
    </row>
    <row r="932" spans="1:6">
      <c r="A932" t="s">
        <v>1255</v>
      </c>
      <c r="B932" t="str">
        <f>"10673342253499232337"</f>
        <v>10673342253499232337</v>
      </c>
      <c r="C932" s="4">
        <v>45799</v>
      </c>
      <c r="D932" t="s">
        <v>241</v>
      </c>
      <c r="E932" t="s">
        <v>1256</v>
      </c>
      <c r="F932" t="s">
        <v>1249</v>
      </c>
    </row>
    <row r="933" spans="1:6">
      <c r="A933" t="s">
        <v>1257</v>
      </c>
      <c r="B933" t="str">
        <f>"10673342253498484308"</f>
        <v>10673342253498484308</v>
      </c>
      <c r="C933" s="4">
        <v>45799</v>
      </c>
      <c r="D933" t="s">
        <v>241</v>
      </c>
      <c r="E933" t="s">
        <v>1258</v>
      </c>
      <c r="F933" t="s">
        <v>1249</v>
      </c>
    </row>
    <row r="934" spans="1:6">
      <c r="A934" t="s">
        <v>1259</v>
      </c>
      <c r="B934" t="str">
        <f>"10673342253498455367"</f>
        <v>10673342253498455367</v>
      </c>
      <c r="C934" s="4">
        <v>45799</v>
      </c>
      <c r="D934" t="s">
        <v>241</v>
      </c>
      <c r="E934" t="s">
        <v>1260</v>
      </c>
      <c r="F934" t="s">
        <v>1252</v>
      </c>
    </row>
    <row r="935" spans="1:6">
      <c r="A935" t="s">
        <v>1261</v>
      </c>
      <c r="B935" t="str">
        <f>"10673342253498788404"</f>
        <v>10673342253498788404</v>
      </c>
      <c r="C935" s="4">
        <v>45799</v>
      </c>
      <c r="D935" t="s">
        <v>241</v>
      </c>
      <c r="E935" t="s">
        <v>1262</v>
      </c>
      <c r="F935" t="s">
        <v>1249</v>
      </c>
    </row>
    <row r="936" spans="1:6">
      <c r="A936" t="s">
        <v>1263</v>
      </c>
      <c r="B936" t="str">
        <f>"10673342253408178393"</f>
        <v>10673342253408178393</v>
      </c>
      <c r="C936" s="4">
        <v>45686</v>
      </c>
      <c r="D936" t="s">
        <v>99</v>
      </c>
      <c r="E936" t="s">
        <v>12</v>
      </c>
      <c r="F936" t="s">
        <v>12</v>
      </c>
    </row>
    <row r="937" spans="1:6">
      <c r="A937" t="s">
        <v>1264</v>
      </c>
      <c r="B937" t="str">
        <f>"10673342253410676818"</f>
        <v>10673342253410676818</v>
      </c>
      <c r="C937" s="4">
        <v>45686</v>
      </c>
      <c r="D937" t="s">
        <v>241</v>
      </c>
      <c r="E937" t="s">
        <v>1265</v>
      </c>
      <c r="F937" t="s">
        <v>55</v>
      </c>
    </row>
    <row r="938" spans="1:6">
      <c r="A938" t="s">
        <v>1266</v>
      </c>
      <c r="B938" t="str">
        <f>"10673342253409904292"</f>
        <v>10673342253409904292</v>
      </c>
      <c r="C938" s="4">
        <v>45686</v>
      </c>
      <c r="D938" t="s">
        <v>99</v>
      </c>
      <c r="E938" t="s">
        <v>12</v>
      </c>
      <c r="F938" t="s">
        <v>12</v>
      </c>
    </row>
    <row r="939" spans="1:6">
      <c r="A939" t="s">
        <v>1267</v>
      </c>
      <c r="B939" t="str">
        <f>"10673342253409683539"</f>
        <v>10673342253409683539</v>
      </c>
      <c r="C939" s="4">
        <v>45686</v>
      </c>
      <c r="D939" t="s">
        <v>99</v>
      </c>
      <c r="E939" t="s">
        <v>12</v>
      </c>
      <c r="F939" t="s">
        <v>12</v>
      </c>
    </row>
    <row r="940" spans="1:6">
      <c r="A940" t="s">
        <v>1268</v>
      </c>
      <c r="B940" t="str">
        <f>"10673342253408226746"</f>
        <v>10673342253408226746</v>
      </c>
      <c r="C940" s="4">
        <v>45686</v>
      </c>
      <c r="D940" t="s">
        <v>99</v>
      </c>
      <c r="E940" t="s">
        <v>12</v>
      </c>
      <c r="F940" t="s">
        <v>12</v>
      </c>
    </row>
    <row r="941" spans="1:6">
      <c r="A941" t="s">
        <v>1269</v>
      </c>
      <c r="B941" t="str">
        <f>"10673342253409823357"</f>
        <v>10673342253409823357</v>
      </c>
      <c r="C941" s="4">
        <v>45686</v>
      </c>
      <c r="D941" t="s">
        <v>99</v>
      </c>
      <c r="E941" t="s">
        <v>12</v>
      </c>
      <c r="F941" t="s">
        <v>12</v>
      </c>
    </row>
    <row r="942" spans="1:6">
      <c r="A942" t="s">
        <v>1270</v>
      </c>
      <c r="B942" t="str">
        <f>"10673342253411029786"</f>
        <v>10673342253411029786</v>
      </c>
      <c r="C942" s="4">
        <v>45686</v>
      </c>
      <c r="D942" t="s">
        <v>241</v>
      </c>
      <c r="E942" t="s">
        <v>1271</v>
      </c>
      <c r="F942" t="s">
        <v>55</v>
      </c>
    </row>
    <row r="943" spans="1:6">
      <c r="A943" t="s">
        <v>1272</v>
      </c>
      <c r="B943" t="str">
        <f>"10673342253410350491"</f>
        <v>10673342253410350491</v>
      </c>
      <c r="C943" s="4">
        <v>45686</v>
      </c>
      <c r="D943" t="s">
        <v>241</v>
      </c>
      <c r="E943" t="s">
        <v>1273</v>
      </c>
      <c r="F943" t="s">
        <v>55</v>
      </c>
    </row>
    <row r="944" spans="1:6">
      <c r="A944" t="s">
        <v>1274</v>
      </c>
      <c r="B944" t="str">
        <f>"10673342253410900513"</f>
        <v>10673342253410900513</v>
      </c>
      <c r="C944" s="4">
        <v>45686</v>
      </c>
      <c r="D944" t="s">
        <v>241</v>
      </c>
      <c r="E944" t="s">
        <v>1275</v>
      </c>
      <c r="F944" t="s">
        <v>55</v>
      </c>
    </row>
    <row r="945" spans="1:6">
      <c r="A945" t="s">
        <v>1276</v>
      </c>
      <c r="B945" t="str">
        <f>"10673342253410147734"</f>
        <v>10673342253410147734</v>
      </c>
      <c r="C945" s="4">
        <v>45686</v>
      </c>
      <c r="D945" t="s">
        <v>99</v>
      </c>
      <c r="E945" t="s">
        <v>12</v>
      </c>
      <c r="F945" t="s">
        <v>12</v>
      </c>
    </row>
    <row r="946" spans="1:6">
      <c r="A946" t="s">
        <v>1277</v>
      </c>
      <c r="B946" t="str">
        <f>"10673342253408685511"</f>
        <v>10673342253408685511</v>
      </c>
      <c r="C946" s="4">
        <v>45686</v>
      </c>
      <c r="D946" t="s">
        <v>99</v>
      </c>
      <c r="E946" t="s">
        <v>12</v>
      </c>
      <c r="F946" t="s">
        <v>12</v>
      </c>
    </row>
    <row r="947" spans="1:6">
      <c r="A947" t="s">
        <v>1278</v>
      </c>
      <c r="B947" t="str">
        <f>"10673342253410255642"</f>
        <v>10673342253410255642</v>
      </c>
      <c r="C947" s="4">
        <v>45686</v>
      </c>
      <c r="D947" t="s">
        <v>241</v>
      </c>
      <c r="E947" t="s">
        <v>1279</v>
      </c>
      <c r="F947" t="s">
        <v>1280</v>
      </c>
    </row>
    <row r="948" spans="1:6">
      <c r="A948" t="s">
        <v>1281</v>
      </c>
      <c r="B948" t="str">
        <f>"10673342253409933071"</f>
        <v>10673342253409933071</v>
      </c>
      <c r="C948" s="4">
        <v>45686</v>
      </c>
      <c r="D948" t="s">
        <v>99</v>
      </c>
      <c r="E948" t="s">
        <v>12</v>
      </c>
      <c r="F948" t="s">
        <v>12</v>
      </c>
    </row>
    <row r="949" spans="1:6">
      <c r="A949" t="s">
        <v>1282</v>
      </c>
      <c r="B949" t="str">
        <f>"18810561250127055806"</f>
        <v>18810561250127055806</v>
      </c>
      <c r="C949" s="4">
        <v>45686</v>
      </c>
      <c r="D949" t="s">
        <v>99</v>
      </c>
      <c r="E949" t="s">
        <v>12</v>
      </c>
      <c r="F949" t="s">
        <v>12</v>
      </c>
    </row>
    <row r="950" spans="1:6">
      <c r="A950" t="s">
        <v>1283</v>
      </c>
      <c r="B950" t="str">
        <f>"10673342253426254772"</f>
        <v>10673342253426254772</v>
      </c>
      <c r="C950" s="4">
        <v>45831</v>
      </c>
      <c r="D950" t="s">
        <v>241</v>
      </c>
      <c r="E950" t="s">
        <v>1284</v>
      </c>
      <c r="F950" t="s">
        <v>1285</v>
      </c>
    </row>
    <row r="951" spans="1:6">
      <c r="A951" t="s">
        <v>1286</v>
      </c>
      <c r="B951" t="str">
        <f>"10673342253424524586"</f>
        <v>10673342253424524586</v>
      </c>
      <c r="C951" s="4">
        <v>45831</v>
      </c>
      <c r="D951" t="s">
        <v>99</v>
      </c>
      <c r="E951" t="s">
        <v>12</v>
      </c>
      <c r="F951" t="s">
        <v>12</v>
      </c>
    </row>
    <row r="952" spans="1:6">
      <c r="A952" t="s">
        <v>1287</v>
      </c>
      <c r="B952" t="str">
        <f>"10673342253425373891"</f>
        <v>10673342253425373891</v>
      </c>
      <c r="C952" s="4">
        <v>45831</v>
      </c>
      <c r="D952" t="s">
        <v>241</v>
      </c>
      <c r="E952" t="s">
        <v>1288</v>
      </c>
      <c r="F952" t="s">
        <v>1285</v>
      </c>
    </row>
    <row r="953" spans="1:6">
      <c r="A953" t="s">
        <v>1289</v>
      </c>
      <c r="B953" t="str">
        <f>"10673342253426117619"</f>
        <v>10673342253426117619</v>
      </c>
      <c r="C953" s="4">
        <v>45831</v>
      </c>
      <c r="D953" t="s">
        <v>241</v>
      </c>
      <c r="E953" t="s">
        <v>1290</v>
      </c>
      <c r="F953" t="s">
        <v>1285</v>
      </c>
    </row>
    <row r="954" spans="1:6">
      <c r="A954" t="s">
        <v>1291</v>
      </c>
      <c r="B954" t="str">
        <f>"10673342253424048644"</f>
        <v>10673342253424048644</v>
      </c>
      <c r="C954" s="4">
        <v>45831</v>
      </c>
      <c r="D954" t="s">
        <v>99</v>
      </c>
      <c r="E954" t="s">
        <v>12</v>
      </c>
      <c r="F954" t="s">
        <v>12</v>
      </c>
    </row>
    <row r="955" spans="1:6">
      <c r="A955" t="s">
        <v>1292</v>
      </c>
      <c r="B955" t="str">
        <f>"10673342253424406737"</f>
        <v>10673342253424406737</v>
      </c>
      <c r="C955" s="4">
        <v>45831</v>
      </c>
      <c r="D955" t="s">
        <v>99</v>
      </c>
      <c r="E955" t="s">
        <v>12</v>
      </c>
      <c r="F955" t="s">
        <v>12</v>
      </c>
    </row>
    <row r="956" spans="1:6">
      <c r="A956" t="s">
        <v>1293</v>
      </c>
      <c r="B956" t="str">
        <f>"10673342253424015304"</f>
        <v>10673342253424015304</v>
      </c>
      <c r="C956" s="4">
        <v>45831</v>
      </c>
      <c r="D956" t="s">
        <v>99</v>
      </c>
      <c r="E956" t="s">
        <v>12</v>
      </c>
      <c r="F956" t="s">
        <v>12</v>
      </c>
    </row>
    <row r="957" spans="1:6">
      <c r="A957" t="s">
        <v>1294</v>
      </c>
      <c r="B957" t="str">
        <f>"10673342253423852008"</f>
        <v>10673342253423852008</v>
      </c>
      <c r="C957" s="4">
        <v>45831</v>
      </c>
      <c r="D957" t="s">
        <v>241</v>
      </c>
      <c r="E957" t="s">
        <v>1295</v>
      </c>
      <c r="F957" t="s">
        <v>342</v>
      </c>
    </row>
    <row r="958" spans="1:6">
      <c r="A958" t="s">
        <v>1296</v>
      </c>
      <c r="B958" t="str">
        <f>"10677462254059631257"</f>
        <v>10677462254059631257</v>
      </c>
      <c r="C958" s="4">
        <v>46014</v>
      </c>
      <c r="D958" t="s">
        <v>241</v>
      </c>
      <c r="E958" t="s">
        <v>1297</v>
      </c>
      <c r="F958" t="s">
        <v>636</v>
      </c>
    </row>
    <row r="959" spans="1:6">
      <c r="A959" t="s">
        <v>1298</v>
      </c>
      <c r="B959" t="str">
        <f>"10677462254059389162"</f>
        <v>10677462254059389162</v>
      </c>
      <c r="C959" s="4">
        <v>46014</v>
      </c>
      <c r="D959" t="s">
        <v>241</v>
      </c>
      <c r="E959" t="s">
        <v>1299</v>
      </c>
      <c r="F959" t="s">
        <v>643</v>
      </c>
    </row>
    <row r="960" spans="1:6">
      <c r="A960" t="s">
        <v>1300</v>
      </c>
      <c r="B960" t="str">
        <f>"10677462254058043221"</f>
        <v>10677462254058043221</v>
      </c>
      <c r="C960" s="4">
        <v>46014</v>
      </c>
      <c r="D960" t="s">
        <v>99</v>
      </c>
      <c r="E960" t="s">
        <v>12</v>
      </c>
      <c r="F960" t="s">
        <v>12</v>
      </c>
    </row>
    <row r="961" spans="1:6">
      <c r="A961" t="s">
        <v>1301</v>
      </c>
      <c r="B961" t="str">
        <f>"10677462254058061929"</f>
        <v>10677462254058061929</v>
      </c>
      <c r="C961" s="4">
        <v>46014</v>
      </c>
      <c r="D961" t="s">
        <v>99</v>
      </c>
      <c r="E961" t="s">
        <v>12</v>
      </c>
      <c r="F961" t="s">
        <v>12</v>
      </c>
    </row>
    <row r="962" spans="1:6">
      <c r="A962" t="s">
        <v>1302</v>
      </c>
      <c r="B962" t="str">
        <f>"10677462254058043246"</f>
        <v>10677462254058043246</v>
      </c>
      <c r="C962" s="4">
        <v>46014</v>
      </c>
      <c r="D962" t="s">
        <v>99</v>
      </c>
      <c r="E962" t="s">
        <v>12</v>
      </c>
      <c r="F962" t="s">
        <v>12</v>
      </c>
    </row>
    <row r="963" spans="1:6">
      <c r="A963" t="s">
        <v>1303</v>
      </c>
      <c r="B963" t="str">
        <f>"10677462254058099489"</f>
        <v>10677462254058099489</v>
      </c>
      <c r="C963" s="4">
        <v>46014</v>
      </c>
      <c r="D963" t="s">
        <v>99</v>
      </c>
      <c r="E963" t="s">
        <v>12</v>
      </c>
      <c r="F963" t="s">
        <v>12</v>
      </c>
    </row>
    <row r="964" spans="1:6">
      <c r="A964" t="s">
        <v>1304</v>
      </c>
      <c r="B964" t="str">
        <f>"10677462254058083930"</f>
        <v>10677462254058083930</v>
      </c>
      <c r="C964" s="4">
        <v>46014</v>
      </c>
      <c r="D964" t="s">
        <v>99</v>
      </c>
      <c r="E964" t="s">
        <v>12</v>
      </c>
      <c r="F964" t="s">
        <v>12</v>
      </c>
    </row>
    <row r="965" spans="1:6">
      <c r="A965" t="s">
        <v>1305</v>
      </c>
      <c r="B965" t="str">
        <f>"10677462254058102285"</f>
        <v>10677462254058102285</v>
      </c>
      <c r="C965" s="4">
        <v>46014</v>
      </c>
      <c r="D965" t="s">
        <v>99</v>
      </c>
      <c r="E965" t="s">
        <v>12</v>
      </c>
      <c r="F965" t="s">
        <v>12</v>
      </c>
    </row>
    <row r="966" spans="1:6">
      <c r="A966" t="s">
        <v>1306</v>
      </c>
      <c r="B966" t="str">
        <f>"10677462254058119439"</f>
        <v>10677462254058119439</v>
      </c>
      <c r="C966" s="4">
        <v>46014</v>
      </c>
      <c r="D966" t="s">
        <v>99</v>
      </c>
      <c r="E966" t="s">
        <v>12</v>
      </c>
      <c r="F966" t="s">
        <v>12</v>
      </c>
    </row>
    <row r="967" spans="1:6">
      <c r="A967" t="s">
        <v>1307</v>
      </c>
      <c r="B967" t="str">
        <f>"10677462254058075571"</f>
        <v>10677462254058075571</v>
      </c>
      <c r="C967" s="4">
        <v>46014</v>
      </c>
      <c r="D967" t="s">
        <v>99</v>
      </c>
      <c r="E967" t="s">
        <v>12</v>
      </c>
      <c r="F967" t="s">
        <v>12</v>
      </c>
    </row>
    <row r="968" spans="1:6">
      <c r="A968" t="s">
        <v>1308</v>
      </c>
      <c r="B968" t="str">
        <f>"10677462254058127229"</f>
        <v>10677462254058127229</v>
      </c>
      <c r="C968" s="4">
        <v>46014</v>
      </c>
      <c r="D968" t="s">
        <v>241</v>
      </c>
      <c r="E968" t="s">
        <v>1309</v>
      </c>
      <c r="F968" t="s">
        <v>640</v>
      </c>
    </row>
    <row r="969" spans="1:6">
      <c r="A969" t="s">
        <v>1310</v>
      </c>
      <c r="B969" t="str">
        <f>"10673342253496233189"</f>
        <v>10673342253496233189</v>
      </c>
      <c r="C969" s="4">
        <v>45803</v>
      </c>
      <c r="D969" t="s">
        <v>99</v>
      </c>
      <c r="E969" t="s">
        <v>12</v>
      </c>
      <c r="F969" t="s">
        <v>12</v>
      </c>
    </row>
    <row r="970" spans="1:6">
      <c r="A970" t="s">
        <v>1311</v>
      </c>
      <c r="B970" t="str">
        <f>"10673342253400406303"</f>
        <v>10673342253400406303</v>
      </c>
      <c r="C970" s="4">
        <v>45803</v>
      </c>
      <c r="D970" t="s">
        <v>99</v>
      </c>
      <c r="E970" t="s">
        <v>12</v>
      </c>
      <c r="F970" t="s">
        <v>12</v>
      </c>
    </row>
    <row r="971" spans="1:6">
      <c r="A971" t="s">
        <v>1312</v>
      </c>
      <c r="B971" t="str">
        <f>"10673342253499578039"</f>
        <v>10673342253499578039</v>
      </c>
      <c r="C971" s="4">
        <v>45803</v>
      </c>
      <c r="D971" t="s">
        <v>241</v>
      </c>
      <c r="E971" t="s">
        <v>1313</v>
      </c>
      <c r="F971" t="s">
        <v>946</v>
      </c>
    </row>
    <row r="972" spans="1:6">
      <c r="A972" t="s">
        <v>1314</v>
      </c>
      <c r="B972" t="str">
        <f>"10673342253476625324"</f>
        <v>10673342253476625324</v>
      </c>
      <c r="C972" s="4">
        <v>45803</v>
      </c>
      <c r="D972" t="s">
        <v>99</v>
      </c>
      <c r="E972" t="s">
        <v>12</v>
      </c>
      <c r="F972" t="s">
        <v>12</v>
      </c>
    </row>
    <row r="973" spans="1:6">
      <c r="A973" t="s">
        <v>1315</v>
      </c>
      <c r="B973" t="str">
        <f>"10673342253496458725"</f>
        <v>10673342253496458725</v>
      </c>
      <c r="C973" s="4">
        <v>45803</v>
      </c>
      <c r="D973" t="s">
        <v>99</v>
      </c>
      <c r="E973" t="s">
        <v>12</v>
      </c>
      <c r="F973" t="s">
        <v>12</v>
      </c>
    </row>
    <row r="974" spans="1:6">
      <c r="A974" t="s">
        <v>1316</v>
      </c>
      <c r="B974" t="str">
        <f>"10673342253495495449"</f>
        <v>10673342253495495449</v>
      </c>
      <c r="C974" s="4">
        <v>45803</v>
      </c>
      <c r="D974" t="s">
        <v>99</v>
      </c>
      <c r="E974" t="s">
        <v>12</v>
      </c>
      <c r="F974" t="s">
        <v>12</v>
      </c>
    </row>
    <row r="975" spans="1:6">
      <c r="A975" t="s">
        <v>1317</v>
      </c>
      <c r="B975" t="str">
        <f>"10673342253400776812"</f>
        <v>10673342253400776812</v>
      </c>
      <c r="C975" s="4">
        <v>45803</v>
      </c>
      <c r="D975" t="s">
        <v>241</v>
      </c>
      <c r="E975" t="s">
        <v>1318</v>
      </c>
      <c r="F975" t="s">
        <v>1319</v>
      </c>
    </row>
    <row r="976" spans="1:6">
      <c r="A976" t="s">
        <v>1320</v>
      </c>
      <c r="B976" t="str">
        <f>"10673342253495978148"</f>
        <v>10673342253495978148</v>
      </c>
      <c r="C976" s="4">
        <v>45803</v>
      </c>
      <c r="D976" t="s">
        <v>99</v>
      </c>
      <c r="E976" t="s">
        <v>12</v>
      </c>
      <c r="F976" t="s">
        <v>12</v>
      </c>
    </row>
    <row r="977" spans="1:6">
      <c r="A977" t="s">
        <v>1321</v>
      </c>
      <c r="B977" t="str">
        <f>"10673342253496270637"</f>
        <v>10673342253496270637</v>
      </c>
      <c r="C977" s="4">
        <v>45803</v>
      </c>
      <c r="D977" t="s">
        <v>99</v>
      </c>
      <c r="E977" t="s">
        <v>12</v>
      </c>
      <c r="F977" t="s">
        <v>12</v>
      </c>
    </row>
    <row r="978" spans="1:6">
      <c r="A978" t="s">
        <v>1322</v>
      </c>
      <c r="B978" t="str">
        <f>"10673342253476635265"</f>
        <v>10673342253476635265</v>
      </c>
      <c r="C978" s="4">
        <v>45803</v>
      </c>
      <c r="D978" t="s">
        <v>241</v>
      </c>
      <c r="E978" t="s">
        <v>1323</v>
      </c>
      <c r="F978" t="s">
        <v>946</v>
      </c>
    </row>
    <row r="979" spans="1:6">
      <c r="A979" t="s">
        <v>1324</v>
      </c>
      <c r="B979" t="str">
        <f>"10677462254021622099"</f>
        <v>10677462254021622099</v>
      </c>
      <c r="C979" s="4">
        <v>45895</v>
      </c>
      <c r="D979" t="s">
        <v>241</v>
      </c>
      <c r="E979" t="s">
        <v>1325</v>
      </c>
      <c r="F979" t="s">
        <v>822</v>
      </c>
    </row>
    <row r="980" spans="1:6">
      <c r="A980" t="s">
        <v>1326</v>
      </c>
      <c r="B980" t="str">
        <f>"10677462254023477487"</f>
        <v>10677462254023477487</v>
      </c>
      <c r="C980" s="4">
        <v>45895</v>
      </c>
      <c r="D980" t="s">
        <v>241</v>
      </c>
      <c r="E980" t="s">
        <v>1327</v>
      </c>
      <c r="F980" t="s">
        <v>1075</v>
      </c>
    </row>
    <row r="981" spans="1:6">
      <c r="A981" t="s">
        <v>1328</v>
      </c>
      <c r="B981" t="str">
        <f>"10677462254021319663"</f>
        <v>10677462254021319663</v>
      </c>
      <c r="C981" s="4">
        <v>45895</v>
      </c>
      <c r="D981" t="s">
        <v>241</v>
      </c>
      <c r="E981" t="s">
        <v>1329</v>
      </c>
      <c r="F981" t="s">
        <v>822</v>
      </c>
    </row>
    <row r="982" spans="1:6">
      <c r="A982" t="s">
        <v>1330</v>
      </c>
      <c r="B982" t="str">
        <f>"10677462254023278018"</f>
        <v>10677462254023278018</v>
      </c>
      <c r="C982" s="4">
        <v>45895</v>
      </c>
      <c r="D982" t="s">
        <v>241</v>
      </c>
      <c r="E982" t="s">
        <v>1331</v>
      </c>
      <c r="F982" t="s">
        <v>25</v>
      </c>
    </row>
    <row r="983" spans="1:6">
      <c r="A983" t="s">
        <v>1332</v>
      </c>
      <c r="B983" t="str">
        <f>"10677462254023450945"</f>
        <v>10677462254023450945</v>
      </c>
      <c r="C983" s="4">
        <v>45895</v>
      </c>
      <c r="D983" t="s">
        <v>241</v>
      </c>
      <c r="E983" t="s">
        <v>1333</v>
      </c>
      <c r="F983" t="s">
        <v>1075</v>
      </c>
    </row>
    <row r="984" spans="1:6">
      <c r="A984" t="s">
        <v>1334</v>
      </c>
      <c r="B984" t="str">
        <f>"10677462254023280756"</f>
        <v>10677462254023280756</v>
      </c>
      <c r="C984" s="4">
        <v>45895</v>
      </c>
      <c r="D984" t="s">
        <v>241</v>
      </c>
      <c r="E984" t="s">
        <v>1335</v>
      </c>
      <c r="F984" t="s">
        <v>25</v>
      </c>
    </row>
    <row r="985" spans="1:6">
      <c r="A985" t="s">
        <v>1336</v>
      </c>
      <c r="B985" t="str">
        <f>"10677462254022064936"</f>
        <v>10677462254022064936</v>
      </c>
      <c r="C985" s="4">
        <v>45895</v>
      </c>
      <c r="D985" t="s">
        <v>241</v>
      </c>
      <c r="E985" t="s">
        <v>1337</v>
      </c>
      <c r="F985" t="s">
        <v>77</v>
      </c>
    </row>
    <row r="986" spans="1:6">
      <c r="A986" t="s">
        <v>1338</v>
      </c>
      <c r="B986" t="str">
        <f>"10677462254022690241"</f>
        <v>10677462254022690241</v>
      </c>
      <c r="C986" s="4">
        <v>45895</v>
      </c>
      <c r="D986" t="s">
        <v>241</v>
      </c>
      <c r="E986" t="s">
        <v>1339</v>
      </c>
      <c r="F986" t="s">
        <v>25</v>
      </c>
    </row>
    <row r="987" spans="1:6">
      <c r="A987" t="s">
        <v>1340</v>
      </c>
      <c r="B987" t="str">
        <f>"10677462254022495589"</f>
        <v>10677462254022495589</v>
      </c>
      <c r="C987" s="4">
        <v>45895</v>
      </c>
      <c r="D987" t="s">
        <v>241</v>
      </c>
      <c r="E987" t="s">
        <v>1341</v>
      </c>
      <c r="F987" t="s">
        <v>77</v>
      </c>
    </row>
    <row r="988" spans="1:6">
      <c r="A988" t="s">
        <v>1342</v>
      </c>
      <c r="B988" t="str">
        <f>"10677462254021831216"</f>
        <v>10677462254021831216</v>
      </c>
      <c r="C988" s="4">
        <v>45895</v>
      </c>
      <c r="D988" t="s">
        <v>241</v>
      </c>
      <c r="E988" t="s">
        <v>1343</v>
      </c>
      <c r="F988" t="s">
        <v>822</v>
      </c>
    </row>
    <row r="989" spans="1:6">
      <c r="A989" t="s">
        <v>1344</v>
      </c>
      <c r="B989" t="str">
        <f>"10677462254022045947"</f>
        <v>10677462254022045947</v>
      </c>
      <c r="C989" s="4">
        <v>45895</v>
      </c>
      <c r="D989" t="s">
        <v>241</v>
      </c>
      <c r="E989" t="s">
        <v>1345</v>
      </c>
      <c r="F989" t="s">
        <v>77</v>
      </c>
    </row>
    <row r="990" spans="1:6">
      <c r="A990" t="s">
        <v>1346</v>
      </c>
      <c r="B990" t="str">
        <f>"10677462254022018292"</f>
        <v>10677462254022018292</v>
      </c>
      <c r="C990" s="4">
        <v>45895</v>
      </c>
      <c r="D990" t="s">
        <v>241</v>
      </c>
      <c r="E990" t="s">
        <v>1347</v>
      </c>
      <c r="F990" t="s">
        <v>77</v>
      </c>
    </row>
    <row r="991" spans="1:6">
      <c r="A991" t="s">
        <v>1348</v>
      </c>
      <c r="B991" t="str">
        <f>"10677462254023442853"</f>
        <v>10677462254023442853</v>
      </c>
      <c r="C991" s="4">
        <v>45895</v>
      </c>
      <c r="D991" t="s">
        <v>241</v>
      </c>
      <c r="E991" t="s">
        <v>1349</v>
      </c>
      <c r="F991" t="s">
        <v>25</v>
      </c>
    </row>
    <row r="992" spans="1:6">
      <c r="A992" t="s">
        <v>1350</v>
      </c>
      <c r="B992" t="str">
        <f>"10673342253443206918"</f>
        <v>10673342253443206918</v>
      </c>
      <c r="C992" s="4">
        <v>45736</v>
      </c>
      <c r="D992" t="s">
        <v>241</v>
      </c>
      <c r="E992" t="s">
        <v>1351</v>
      </c>
      <c r="F992" t="s">
        <v>1125</v>
      </c>
    </row>
    <row r="993" spans="1:6">
      <c r="A993" t="s">
        <v>1352</v>
      </c>
      <c r="B993" t="str">
        <f>"10673342253443620518"</f>
        <v>10673342253443620518</v>
      </c>
      <c r="C993" s="4">
        <v>45736</v>
      </c>
      <c r="D993" t="s">
        <v>99</v>
      </c>
      <c r="E993" t="s">
        <v>12</v>
      </c>
      <c r="F993" t="s">
        <v>12</v>
      </c>
    </row>
    <row r="994" spans="1:6">
      <c r="A994" t="s">
        <v>1353</v>
      </c>
      <c r="B994" t="str">
        <f>"10673342253443987944"</f>
        <v>10673342253443987944</v>
      </c>
      <c r="C994" s="4">
        <v>45736</v>
      </c>
      <c r="D994" t="s">
        <v>99</v>
      </c>
      <c r="E994" t="s">
        <v>12</v>
      </c>
      <c r="F994" t="s">
        <v>12</v>
      </c>
    </row>
    <row r="995" spans="1:6">
      <c r="A995" t="s">
        <v>1354</v>
      </c>
      <c r="B995" t="str">
        <f>"10673342253444116513"</f>
        <v>10673342253444116513</v>
      </c>
      <c r="C995" s="4">
        <v>45737</v>
      </c>
      <c r="D995" t="s">
        <v>99</v>
      </c>
      <c r="E995" t="s">
        <v>12</v>
      </c>
      <c r="F995" t="s">
        <v>12</v>
      </c>
    </row>
    <row r="996" spans="1:6">
      <c r="A996" t="s">
        <v>1355</v>
      </c>
      <c r="B996" t="str">
        <f>"10673342253445079689"</f>
        <v>10673342253445079689</v>
      </c>
      <c r="C996" s="4">
        <v>45737</v>
      </c>
      <c r="D996" t="s">
        <v>99</v>
      </c>
      <c r="E996" t="s">
        <v>12</v>
      </c>
      <c r="F996" t="s">
        <v>12</v>
      </c>
    </row>
    <row r="997" spans="1:6">
      <c r="A997" t="s">
        <v>1356</v>
      </c>
      <c r="B997" t="str">
        <f>"10673342253444646601"</f>
        <v>10673342253444646601</v>
      </c>
      <c r="C997" s="4">
        <v>45737</v>
      </c>
      <c r="D997" t="s">
        <v>99</v>
      </c>
      <c r="E997" t="s">
        <v>12</v>
      </c>
      <c r="F997" t="s">
        <v>12</v>
      </c>
    </row>
    <row r="998" spans="1:6">
      <c r="A998" t="s">
        <v>1357</v>
      </c>
      <c r="B998" t="str">
        <f>"10673342253444405434"</f>
        <v>10673342253444405434</v>
      </c>
      <c r="C998" s="4">
        <v>45737</v>
      </c>
      <c r="D998" t="s">
        <v>99</v>
      </c>
      <c r="E998" t="s">
        <v>12</v>
      </c>
      <c r="F998" t="s">
        <v>12</v>
      </c>
    </row>
    <row r="999" spans="1:6">
      <c r="A999" t="s">
        <v>1358</v>
      </c>
      <c r="B999" t="str">
        <f>"10673342253444646628"</f>
        <v>10673342253444646628</v>
      </c>
      <c r="C999" s="4">
        <v>45737</v>
      </c>
      <c r="D999" t="s">
        <v>99</v>
      </c>
      <c r="E999" t="s">
        <v>12</v>
      </c>
      <c r="F999" t="s">
        <v>12</v>
      </c>
    </row>
    <row r="1000" spans="1:6">
      <c r="A1000" t="s">
        <v>1359</v>
      </c>
      <c r="B1000" t="str">
        <f>"10673342253444646628"</f>
        <v>10673342253444646628</v>
      </c>
      <c r="C1000" s="4">
        <v>45737</v>
      </c>
      <c r="D1000" t="s">
        <v>99</v>
      </c>
      <c r="E1000" t="s">
        <v>12</v>
      </c>
      <c r="F1000" t="s">
        <v>12</v>
      </c>
    </row>
    <row r="1001" spans="1:6">
      <c r="A1001" t="s">
        <v>1360</v>
      </c>
      <c r="B1001" t="str">
        <f>"10673342253444695939"</f>
        <v>10673342253444695939</v>
      </c>
      <c r="C1001" s="4">
        <v>45737</v>
      </c>
      <c r="D1001" t="s">
        <v>99</v>
      </c>
      <c r="E1001" t="s">
        <v>12</v>
      </c>
      <c r="F1001" t="s">
        <v>12</v>
      </c>
    </row>
    <row r="1002" spans="1:6">
      <c r="A1002" t="s">
        <v>1361</v>
      </c>
      <c r="B1002" t="str">
        <f>"10673342253444929700"</f>
        <v>10673342253444929700</v>
      </c>
      <c r="C1002" s="4">
        <v>45737</v>
      </c>
      <c r="D1002" t="s">
        <v>99</v>
      </c>
      <c r="E1002" t="s">
        <v>12</v>
      </c>
      <c r="F1002" t="s">
        <v>12</v>
      </c>
    </row>
    <row r="1003" spans="1:6">
      <c r="A1003" t="s">
        <v>1362</v>
      </c>
      <c r="B1003" t="str">
        <f>"10673342253449583675"</f>
        <v>10673342253449583675</v>
      </c>
      <c r="C1003" s="4">
        <v>45742</v>
      </c>
      <c r="D1003" t="s">
        <v>99</v>
      </c>
      <c r="E1003" t="s">
        <v>12</v>
      </c>
      <c r="F1003" t="s">
        <v>12</v>
      </c>
    </row>
    <row r="1004" spans="1:6">
      <c r="A1004" t="s">
        <v>1363</v>
      </c>
      <c r="B1004" t="str">
        <f>"10673342253448742354"</f>
        <v>10673342253448742354</v>
      </c>
      <c r="C1004" s="4">
        <v>45742</v>
      </c>
      <c r="D1004" t="s">
        <v>241</v>
      </c>
      <c r="E1004" t="s">
        <v>1364</v>
      </c>
      <c r="F1004" t="s">
        <v>315</v>
      </c>
    </row>
    <row r="1005" spans="1:6">
      <c r="A1005" t="s">
        <v>1365</v>
      </c>
      <c r="B1005" t="str">
        <f>"10673342253449054893"</f>
        <v>10673342253449054893</v>
      </c>
      <c r="C1005" s="4">
        <v>45742</v>
      </c>
      <c r="D1005" t="s">
        <v>241</v>
      </c>
      <c r="E1005" t="s">
        <v>1366</v>
      </c>
      <c r="F1005" t="s">
        <v>1367</v>
      </c>
    </row>
    <row r="1006" spans="1:6">
      <c r="A1006" t="s">
        <v>1368</v>
      </c>
      <c r="B1006" t="str">
        <f>"10673342253449427053"</f>
        <v>10673342253449427053</v>
      </c>
      <c r="C1006" s="4">
        <v>45742</v>
      </c>
      <c r="D1006" t="s">
        <v>99</v>
      </c>
      <c r="E1006" t="s">
        <v>12</v>
      </c>
      <c r="F1006" t="s">
        <v>12</v>
      </c>
    </row>
    <row r="1007" spans="1:6">
      <c r="A1007" t="s">
        <v>1369</v>
      </c>
      <c r="B1007" t="str">
        <f>"10673342253449215188"</f>
        <v>10673342253449215188</v>
      </c>
      <c r="C1007" s="4">
        <v>45742</v>
      </c>
      <c r="D1007" t="s">
        <v>99</v>
      </c>
      <c r="E1007" t="s">
        <v>12</v>
      </c>
      <c r="F1007" t="s">
        <v>12</v>
      </c>
    </row>
    <row r="1008" spans="1:6">
      <c r="A1008" t="s">
        <v>1370</v>
      </c>
      <c r="B1008" t="str">
        <f>"10673342253448779371"</f>
        <v>10673342253448779371</v>
      </c>
      <c r="C1008" s="4">
        <v>45742</v>
      </c>
      <c r="D1008" t="s">
        <v>241</v>
      </c>
      <c r="E1008" t="s">
        <v>1371</v>
      </c>
      <c r="F1008" t="s">
        <v>1367</v>
      </c>
    </row>
    <row r="1009" spans="1:6">
      <c r="A1009" t="s">
        <v>1372</v>
      </c>
      <c r="B1009" t="str">
        <f>"10673342253448924550"</f>
        <v>10673342253448924550</v>
      </c>
      <c r="C1009" s="4">
        <v>45742</v>
      </c>
      <c r="D1009" t="s">
        <v>241</v>
      </c>
      <c r="E1009" t="s">
        <v>1373</v>
      </c>
      <c r="F1009" t="s">
        <v>1367</v>
      </c>
    </row>
    <row r="1010" spans="1:6">
      <c r="A1010" t="s">
        <v>1374</v>
      </c>
      <c r="B1010" t="str">
        <f>"10673342253448900575"</f>
        <v>10673342253448900575</v>
      </c>
      <c r="C1010" s="4">
        <v>45742</v>
      </c>
      <c r="D1010" t="s">
        <v>241</v>
      </c>
      <c r="E1010" t="s">
        <v>1375</v>
      </c>
      <c r="F1010" t="s">
        <v>1367</v>
      </c>
    </row>
    <row r="1011" spans="1:6">
      <c r="A1011" t="s">
        <v>1376</v>
      </c>
      <c r="B1011" t="str">
        <f>"10673342253476625324"</f>
        <v>10673342253476625324</v>
      </c>
      <c r="C1011" s="4">
        <v>45804</v>
      </c>
      <c r="D1011" t="s">
        <v>99</v>
      </c>
      <c r="E1011" t="s">
        <v>12</v>
      </c>
      <c r="F1011" t="s">
        <v>12</v>
      </c>
    </row>
    <row r="1012" spans="1:6">
      <c r="A1012" t="s">
        <v>1377</v>
      </c>
      <c r="B1012" t="str">
        <f>"10673342253402733573"</f>
        <v>10673342253402733573</v>
      </c>
      <c r="C1012" s="4">
        <v>45804</v>
      </c>
      <c r="D1012" t="s">
        <v>241</v>
      </c>
      <c r="E1012" t="s">
        <v>1378</v>
      </c>
      <c r="F1012" t="s">
        <v>1379</v>
      </c>
    </row>
    <row r="1013" spans="1:6">
      <c r="A1013" t="s">
        <v>1380</v>
      </c>
      <c r="B1013" t="str">
        <f>"10673342253476635265"</f>
        <v>10673342253476635265</v>
      </c>
      <c r="C1013" s="4">
        <v>45804</v>
      </c>
      <c r="D1013" t="s">
        <v>241</v>
      </c>
      <c r="E1013" t="s">
        <v>1381</v>
      </c>
      <c r="F1013" t="s">
        <v>946</v>
      </c>
    </row>
    <row r="1014" spans="1:6">
      <c r="A1014" t="s">
        <v>1382</v>
      </c>
      <c r="B1014" t="str">
        <f>"10673342253402194257"</f>
        <v>10673342253402194257</v>
      </c>
      <c r="C1014" s="4">
        <v>45804</v>
      </c>
      <c r="D1014" t="s">
        <v>241</v>
      </c>
      <c r="E1014" t="s">
        <v>1383</v>
      </c>
      <c r="F1014" t="s">
        <v>1384</v>
      </c>
    </row>
    <row r="1015" spans="1:6">
      <c r="A1015" t="s">
        <v>1385</v>
      </c>
      <c r="B1015" t="str">
        <f>"10673342253402715540"</f>
        <v>10673342253402715540</v>
      </c>
      <c r="C1015" s="4">
        <v>45804</v>
      </c>
      <c r="D1015" t="s">
        <v>241</v>
      </c>
      <c r="E1015" t="s">
        <v>1386</v>
      </c>
      <c r="F1015" t="s">
        <v>1384</v>
      </c>
    </row>
    <row r="1016" spans="1:6">
      <c r="A1016" t="s">
        <v>1387</v>
      </c>
      <c r="B1016" t="str">
        <f>"10673342253402276431"</f>
        <v>10673342253402276431</v>
      </c>
      <c r="C1016" s="4">
        <v>45804</v>
      </c>
      <c r="D1016" t="s">
        <v>241</v>
      </c>
      <c r="E1016" t="s">
        <v>1388</v>
      </c>
      <c r="F1016" t="s">
        <v>1384</v>
      </c>
    </row>
    <row r="1017" spans="1:6">
      <c r="A1017" t="s">
        <v>1389</v>
      </c>
      <c r="B1017" t="str">
        <f>"10673342253401276861"</f>
        <v>10673342253401276861</v>
      </c>
      <c r="C1017" s="4">
        <v>45804</v>
      </c>
      <c r="D1017" t="s">
        <v>241</v>
      </c>
      <c r="E1017" t="s">
        <v>1390</v>
      </c>
      <c r="F1017" t="s">
        <v>1319</v>
      </c>
    </row>
    <row r="1018" spans="1:6">
      <c r="A1018" t="s">
        <v>1391</v>
      </c>
      <c r="B1018" t="str">
        <f>"10673342253402136948"</f>
        <v>10673342253402136948</v>
      </c>
      <c r="C1018" s="4">
        <v>45804</v>
      </c>
      <c r="D1018" t="s">
        <v>241</v>
      </c>
      <c r="E1018" t="s">
        <v>1392</v>
      </c>
      <c r="F1018" t="s">
        <v>1384</v>
      </c>
    </row>
    <row r="1019" spans="1:6">
      <c r="A1019" t="s">
        <v>1393</v>
      </c>
      <c r="B1019" t="str">
        <f>"10673342253400911997"</f>
        <v>10673342253400911997</v>
      </c>
      <c r="C1019" s="4">
        <v>45804</v>
      </c>
      <c r="D1019" t="s">
        <v>241</v>
      </c>
      <c r="E1019" t="s">
        <v>1394</v>
      </c>
      <c r="F1019" t="s">
        <v>1319</v>
      </c>
    </row>
    <row r="1020" spans="1:6">
      <c r="A1020" t="s">
        <v>1395</v>
      </c>
      <c r="B1020" t="str">
        <f>"10673342253401587603"</f>
        <v>10673342253401587603</v>
      </c>
      <c r="C1020" s="4">
        <v>45804</v>
      </c>
      <c r="D1020" t="s">
        <v>241</v>
      </c>
      <c r="E1020" t="s">
        <v>1396</v>
      </c>
      <c r="F1020" t="s">
        <v>1319</v>
      </c>
    </row>
    <row r="1021" spans="1:6">
      <c r="A1021" t="s">
        <v>1397</v>
      </c>
      <c r="B1021" t="str">
        <f>"10673342253427088213"</f>
        <v>10673342253427088213</v>
      </c>
      <c r="C1021" s="4">
        <v>45835</v>
      </c>
      <c r="D1021" t="s">
        <v>241</v>
      </c>
      <c r="E1021" t="s">
        <v>1398</v>
      </c>
      <c r="F1021" t="s">
        <v>1399</v>
      </c>
    </row>
    <row r="1022" spans="1:6">
      <c r="A1022" t="s">
        <v>1400</v>
      </c>
      <c r="B1022" t="str">
        <f>"10673342253426544886"</f>
        <v>10673342253426544886</v>
      </c>
      <c r="C1022" s="4">
        <v>45835</v>
      </c>
      <c r="D1022" t="s">
        <v>241</v>
      </c>
      <c r="E1022" t="s">
        <v>1401</v>
      </c>
      <c r="F1022" t="s">
        <v>1399</v>
      </c>
    </row>
    <row r="1023" spans="1:6">
      <c r="A1023" t="s">
        <v>1402</v>
      </c>
      <c r="B1023" t="str">
        <f>"10673342253426460151"</f>
        <v>10673342253426460151</v>
      </c>
      <c r="C1023" s="4">
        <v>45835</v>
      </c>
      <c r="D1023" t="s">
        <v>241</v>
      </c>
      <c r="E1023" t="s">
        <v>1403</v>
      </c>
      <c r="F1023" t="s">
        <v>1285</v>
      </c>
    </row>
    <row r="1024" spans="1:6">
      <c r="A1024" t="s">
        <v>1404</v>
      </c>
      <c r="B1024" t="str">
        <f>"10673342253428476764"</f>
        <v>10673342253428476764</v>
      </c>
      <c r="C1024" s="4">
        <v>45835</v>
      </c>
      <c r="D1024" t="s">
        <v>241</v>
      </c>
      <c r="E1024" t="s">
        <v>1405</v>
      </c>
      <c r="F1024" t="s">
        <v>1399</v>
      </c>
    </row>
    <row r="1025" spans="1:6">
      <c r="A1025" t="s">
        <v>1406</v>
      </c>
      <c r="B1025" t="str">
        <f>"10673342253428846588"</f>
        <v>10673342253428846588</v>
      </c>
      <c r="C1025" s="4">
        <v>45835</v>
      </c>
      <c r="D1025" t="s">
        <v>241</v>
      </c>
      <c r="E1025" t="s">
        <v>1407</v>
      </c>
      <c r="F1025" t="s">
        <v>515</v>
      </c>
    </row>
    <row r="1026" spans="1:6">
      <c r="A1026" t="s">
        <v>1408</v>
      </c>
      <c r="B1026" t="str">
        <f>"10673342253428837619"</f>
        <v>10673342253428837619</v>
      </c>
      <c r="C1026" s="4">
        <v>45835</v>
      </c>
      <c r="D1026" t="s">
        <v>241</v>
      </c>
      <c r="E1026" t="s">
        <v>1409</v>
      </c>
      <c r="F1026" t="s">
        <v>515</v>
      </c>
    </row>
    <row r="1027" spans="1:6">
      <c r="A1027" t="s">
        <v>1410</v>
      </c>
      <c r="B1027" t="str">
        <f>"10673342253428668221"</f>
        <v>10673342253428668221</v>
      </c>
      <c r="C1027" s="4">
        <v>45835</v>
      </c>
      <c r="D1027" t="s">
        <v>241</v>
      </c>
      <c r="E1027" t="s">
        <v>1411</v>
      </c>
      <c r="F1027" t="s">
        <v>515</v>
      </c>
    </row>
    <row r="1028" spans="1:6">
      <c r="A1028" t="s">
        <v>1412</v>
      </c>
      <c r="B1028" t="str">
        <f>"10673342253428564183"</f>
        <v>10673342253428564183</v>
      </c>
      <c r="C1028" s="4">
        <v>45835</v>
      </c>
      <c r="D1028" t="s">
        <v>241</v>
      </c>
      <c r="E1028" t="s">
        <v>1413</v>
      </c>
      <c r="F1028" t="s">
        <v>1399</v>
      </c>
    </row>
    <row r="1029" spans="1:6">
      <c r="A1029" t="s">
        <v>1007</v>
      </c>
      <c r="B1029" t="str">
        <f>"10673342253445340506"</f>
        <v>10673342253445340506</v>
      </c>
      <c r="C1029" s="4">
        <v>45855</v>
      </c>
      <c r="D1029" t="s">
        <v>241</v>
      </c>
      <c r="E1029" t="s">
        <v>1008</v>
      </c>
      <c r="F1029" t="s">
        <v>922</v>
      </c>
    </row>
    <row r="1030" spans="1:6">
      <c r="A1030" t="s">
        <v>1011</v>
      </c>
      <c r="B1030" t="str">
        <f>"10673342253444740888"</f>
        <v>10673342253444740888</v>
      </c>
      <c r="C1030" s="4">
        <v>45855</v>
      </c>
      <c r="D1030" t="s">
        <v>241</v>
      </c>
      <c r="E1030" t="s">
        <v>1012</v>
      </c>
      <c r="F1030" t="s">
        <v>922</v>
      </c>
    </row>
    <row r="1031" spans="1:6">
      <c r="A1031" t="s">
        <v>1016</v>
      </c>
      <c r="B1031" t="str">
        <f>"10673342253445804596"</f>
        <v>10673342253445804596</v>
      </c>
      <c r="C1031" s="4">
        <v>45855</v>
      </c>
      <c r="D1031" t="s">
        <v>241</v>
      </c>
      <c r="E1031" t="s">
        <v>1017</v>
      </c>
      <c r="F1031" t="s">
        <v>1018</v>
      </c>
    </row>
    <row r="1032" spans="1:6">
      <c r="A1032" t="s">
        <v>1022</v>
      </c>
      <c r="B1032" t="str">
        <f>"10677462254000323580"</f>
        <v>10677462254000323580</v>
      </c>
      <c r="C1032" s="4">
        <v>45855</v>
      </c>
      <c r="D1032" t="s">
        <v>241</v>
      </c>
      <c r="E1032" t="s">
        <v>1023</v>
      </c>
      <c r="F1032" t="s">
        <v>1024</v>
      </c>
    </row>
    <row r="1033" spans="1:6">
      <c r="A1033" t="s">
        <v>1027</v>
      </c>
      <c r="B1033" t="str">
        <f>"10673342253444734500"</f>
        <v>10673342253444734500</v>
      </c>
      <c r="C1033" s="4">
        <v>45855</v>
      </c>
      <c r="D1033" t="s">
        <v>241</v>
      </c>
      <c r="E1033" t="s">
        <v>1028</v>
      </c>
      <c r="F1033" t="s">
        <v>922</v>
      </c>
    </row>
    <row r="1034" spans="1:6">
      <c r="A1034" t="s">
        <v>1031</v>
      </c>
      <c r="B1034" t="str">
        <f>"10673342253445616455"</f>
        <v>10673342253445616455</v>
      </c>
      <c r="C1034" s="4">
        <v>45855</v>
      </c>
      <c r="D1034" t="s">
        <v>241</v>
      </c>
      <c r="E1034" t="s">
        <v>1032</v>
      </c>
      <c r="F1034" t="s">
        <v>1018</v>
      </c>
    </row>
    <row r="1035" spans="1:6">
      <c r="A1035" t="s">
        <v>1035</v>
      </c>
      <c r="B1035" t="str">
        <f>"10677462254000748131"</f>
        <v>10677462254000748131</v>
      </c>
      <c r="C1035" s="4">
        <v>45855</v>
      </c>
      <c r="D1035" t="s">
        <v>241</v>
      </c>
      <c r="E1035" t="s">
        <v>1036</v>
      </c>
      <c r="F1035" t="s">
        <v>1024</v>
      </c>
    </row>
    <row r="1036" spans="1:6">
      <c r="A1036" t="s">
        <v>1039</v>
      </c>
      <c r="B1036" t="str">
        <f>"10677462254001201446"</f>
        <v>10677462254001201446</v>
      </c>
      <c r="C1036" s="4">
        <v>45855</v>
      </c>
      <c r="D1036" t="s">
        <v>241</v>
      </c>
      <c r="E1036" t="s">
        <v>1040</v>
      </c>
      <c r="F1036" t="s">
        <v>1024</v>
      </c>
    </row>
    <row r="1037" spans="1:6">
      <c r="A1037" t="s">
        <v>1043</v>
      </c>
      <c r="B1037" t="str">
        <f>"10677462254000299140"</f>
        <v>10677462254000299140</v>
      </c>
      <c r="C1037" s="4">
        <v>45855</v>
      </c>
      <c r="D1037" t="s">
        <v>241</v>
      </c>
      <c r="E1037" t="s">
        <v>1044</v>
      </c>
      <c r="F1037" t="s">
        <v>1018</v>
      </c>
    </row>
    <row r="1038" spans="1:6">
      <c r="A1038" t="s">
        <v>1048</v>
      </c>
      <c r="B1038" t="str">
        <f>"10677462254002064760"</f>
        <v>10677462254002064760</v>
      </c>
      <c r="C1038" s="4">
        <v>45855</v>
      </c>
      <c r="D1038" t="s">
        <v>241</v>
      </c>
      <c r="E1038" t="s">
        <v>1049</v>
      </c>
      <c r="F1038" t="s">
        <v>348</v>
      </c>
    </row>
    <row r="1039" spans="1:6">
      <c r="A1039" t="s">
        <v>1052</v>
      </c>
      <c r="B1039" t="str">
        <f>"10677462254002039162"</f>
        <v>10677462254002039162</v>
      </c>
      <c r="C1039" s="4">
        <v>45855</v>
      </c>
      <c r="D1039" t="s">
        <v>241</v>
      </c>
      <c r="E1039" t="s">
        <v>1053</v>
      </c>
      <c r="F1039" t="s">
        <v>348</v>
      </c>
    </row>
    <row r="1040" spans="1:6">
      <c r="A1040" t="s">
        <v>1056</v>
      </c>
      <c r="B1040" t="str">
        <f>"10677462254000221018"</f>
        <v>10677462254000221018</v>
      </c>
      <c r="C1040" s="4">
        <v>45855</v>
      </c>
      <c r="D1040" t="s">
        <v>241</v>
      </c>
      <c r="E1040" t="s">
        <v>1057</v>
      </c>
      <c r="F1040" t="s">
        <v>1018</v>
      </c>
    </row>
    <row r="1041" spans="1:6">
      <c r="A1041" t="s">
        <v>1060</v>
      </c>
      <c r="B1041" t="str">
        <f>"10677462254000805364"</f>
        <v>10677462254000805364</v>
      </c>
      <c r="C1041" s="4">
        <v>45855</v>
      </c>
      <c r="D1041" t="s">
        <v>241</v>
      </c>
      <c r="E1041" t="s">
        <v>1061</v>
      </c>
      <c r="F1041" t="s">
        <v>1024</v>
      </c>
    </row>
    <row r="1042" spans="1:6">
      <c r="A1042" t="s">
        <v>858</v>
      </c>
      <c r="B1042" t="str">
        <f>"10673342253453089852"</f>
        <v>10673342253453089852</v>
      </c>
      <c r="C1042" s="4">
        <v>45747</v>
      </c>
      <c r="D1042" t="s">
        <v>241</v>
      </c>
      <c r="E1042" t="s">
        <v>1414</v>
      </c>
      <c r="F1042" t="s">
        <v>248</v>
      </c>
    </row>
    <row r="1043" spans="1:6">
      <c r="A1043" t="s">
        <v>1165</v>
      </c>
      <c r="B1043" t="str">
        <f>"10673342253452633149"</f>
        <v>10673342253452633149</v>
      </c>
      <c r="C1043" s="4">
        <v>45747</v>
      </c>
      <c r="D1043" t="s">
        <v>241</v>
      </c>
      <c r="E1043" t="s">
        <v>1415</v>
      </c>
      <c r="F1043" t="s">
        <v>1416</v>
      </c>
    </row>
    <row r="1044" spans="1:6">
      <c r="A1044" t="s">
        <v>810</v>
      </c>
      <c r="B1044" t="str">
        <f>"10673342253452736886"</f>
        <v>10673342253452736886</v>
      </c>
      <c r="C1044" s="4">
        <v>45747</v>
      </c>
      <c r="D1044" t="s">
        <v>241</v>
      </c>
      <c r="E1044" t="s">
        <v>1417</v>
      </c>
      <c r="F1044" t="s">
        <v>1416</v>
      </c>
    </row>
    <row r="1045" spans="1:6">
      <c r="A1045" t="s">
        <v>812</v>
      </c>
      <c r="B1045" t="str">
        <f>"10673342253452634129"</f>
        <v>10673342253452634129</v>
      </c>
      <c r="C1045" s="4">
        <v>45747</v>
      </c>
      <c r="D1045" t="s">
        <v>241</v>
      </c>
      <c r="E1045" t="s">
        <v>1418</v>
      </c>
      <c r="F1045" t="s">
        <v>1416</v>
      </c>
    </row>
    <row r="1046" spans="1:6">
      <c r="A1046" t="s">
        <v>249</v>
      </c>
      <c r="B1046" t="str">
        <f>"10673342253452084595"</f>
        <v>10673342253452084595</v>
      </c>
      <c r="C1046" s="4">
        <v>45747</v>
      </c>
      <c r="D1046" t="s">
        <v>241</v>
      </c>
      <c r="E1046" t="s">
        <v>1419</v>
      </c>
      <c r="F1046" t="s">
        <v>1420</v>
      </c>
    </row>
    <row r="1047" spans="1:6">
      <c r="A1047" t="s">
        <v>251</v>
      </c>
      <c r="B1047" t="str">
        <f>"10673342253452626185"</f>
        <v>10673342253452626185</v>
      </c>
      <c r="C1047" s="4">
        <v>45747</v>
      </c>
      <c r="D1047" t="s">
        <v>241</v>
      </c>
      <c r="E1047" t="s">
        <v>1421</v>
      </c>
      <c r="F1047" t="s">
        <v>1416</v>
      </c>
    </row>
    <row r="1048" spans="1:6">
      <c r="A1048" t="s">
        <v>562</v>
      </c>
      <c r="B1048" t="str">
        <f>"10673342253452054629"</f>
        <v>10673342253452054629</v>
      </c>
      <c r="C1048" s="4">
        <v>45747</v>
      </c>
      <c r="D1048" t="s">
        <v>241</v>
      </c>
      <c r="E1048" t="s">
        <v>1422</v>
      </c>
      <c r="F1048" t="s">
        <v>1420</v>
      </c>
    </row>
    <row r="1049" spans="1:6">
      <c r="A1049" t="s">
        <v>652</v>
      </c>
      <c r="B1049" t="str">
        <f>"10673342253451989225"</f>
        <v>10673342253451989225</v>
      </c>
      <c r="C1049" s="4">
        <v>45747</v>
      </c>
      <c r="D1049" t="s">
        <v>241</v>
      </c>
      <c r="E1049" t="s">
        <v>1423</v>
      </c>
      <c r="F1049" t="s">
        <v>1420</v>
      </c>
    </row>
    <row r="1050" spans="1:6">
      <c r="A1050" t="s">
        <v>1424</v>
      </c>
      <c r="B1050" t="str">
        <f>"10673342253450361141"</f>
        <v>10673342253450361141</v>
      </c>
      <c r="C1050" s="4">
        <v>45743</v>
      </c>
      <c r="D1050" t="s">
        <v>99</v>
      </c>
      <c r="E1050" t="s">
        <v>12</v>
      </c>
      <c r="F1050" t="s">
        <v>12</v>
      </c>
    </row>
    <row r="1051" spans="1:6">
      <c r="A1051" t="s">
        <v>1425</v>
      </c>
      <c r="B1051" t="str">
        <f>"10673342253450585252"</f>
        <v>10673342253450585252</v>
      </c>
      <c r="C1051" s="4">
        <v>45743</v>
      </c>
      <c r="D1051" t="s">
        <v>99</v>
      </c>
      <c r="E1051" t="s">
        <v>12</v>
      </c>
      <c r="F1051" t="s">
        <v>12</v>
      </c>
    </row>
    <row r="1052" spans="1:6">
      <c r="A1052" t="s">
        <v>1426</v>
      </c>
      <c r="B1052" t="str">
        <f>"10673342253450556333"</f>
        <v>10673342253450556333</v>
      </c>
      <c r="C1052" s="4">
        <v>45743</v>
      </c>
      <c r="D1052" t="s">
        <v>99</v>
      </c>
      <c r="E1052" t="s">
        <v>12</v>
      </c>
      <c r="F1052" t="s">
        <v>12</v>
      </c>
    </row>
    <row r="1053" spans="1:6">
      <c r="A1053" t="s">
        <v>1427</v>
      </c>
      <c r="B1053" t="str">
        <f>"10673342253450167264"</f>
        <v>10673342253450167264</v>
      </c>
      <c r="C1053" s="4">
        <v>45743</v>
      </c>
      <c r="D1053" t="s">
        <v>241</v>
      </c>
      <c r="E1053" t="s">
        <v>1428</v>
      </c>
      <c r="F1053" t="s">
        <v>1429</v>
      </c>
    </row>
    <row r="1054" spans="1:6">
      <c r="A1054" t="s">
        <v>1430</v>
      </c>
      <c r="B1054" t="str">
        <f>"10673342253450203228"</f>
        <v>10673342253450203228</v>
      </c>
      <c r="C1054" s="4">
        <v>45743</v>
      </c>
      <c r="D1054" t="s">
        <v>241</v>
      </c>
      <c r="E1054" t="s">
        <v>1431</v>
      </c>
      <c r="F1054" t="s">
        <v>1429</v>
      </c>
    </row>
    <row r="1055" spans="1:6">
      <c r="A1055" t="s">
        <v>1432</v>
      </c>
      <c r="B1055" t="str">
        <f>"10673342253449777208"</f>
        <v>10673342253449777208</v>
      </c>
      <c r="C1055" s="4">
        <v>45743</v>
      </c>
      <c r="D1055" t="s">
        <v>99</v>
      </c>
      <c r="E1055" t="s">
        <v>12</v>
      </c>
      <c r="F1055" t="s">
        <v>12</v>
      </c>
    </row>
    <row r="1056" spans="1:6">
      <c r="A1056" t="s">
        <v>1433</v>
      </c>
      <c r="B1056" t="str">
        <f>"10673342253450138426"</f>
        <v>10673342253450138426</v>
      </c>
      <c r="C1056" s="4">
        <v>45743</v>
      </c>
      <c r="D1056" t="s">
        <v>241</v>
      </c>
      <c r="E1056" t="s">
        <v>1434</v>
      </c>
      <c r="F1056" t="s">
        <v>1429</v>
      </c>
    </row>
    <row r="1057" spans="1:6">
      <c r="A1057" t="s">
        <v>1435</v>
      </c>
      <c r="B1057" t="str">
        <f>"10673342253449915562"</f>
        <v>10673342253449915562</v>
      </c>
      <c r="C1057" s="4">
        <v>45743</v>
      </c>
      <c r="D1057" t="s">
        <v>241</v>
      </c>
      <c r="E1057" t="s">
        <v>1436</v>
      </c>
      <c r="F1057" t="s">
        <v>1429</v>
      </c>
    </row>
    <row r="1058" spans="1:6">
      <c r="A1058" t="s">
        <v>1437</v>
      </c>
      <c r="B1058" t="str">
        <f>"10673342253451874665"</f>
        <v>10673342253451874665</v>
      </c>
      <c r="C1058" s="4">
        <v>45744</v>
      </c>
      <c r="D1058" t="s">
        <v>241</v>
      </c>
      <c r="E1058" t="s">
        <v>1438</v>
      </c>
      <c r="F1058" t="s">
        <v>1420</v>
      </c>
    </row>
    <row r="1059" spans="1:6">
      <c r="A1059" t="s">
        <v>1439</v>
      </c>
      <c r="B1059" t="str">
        <f>"10673342253451469914"</f>
        <v>10673342253451469914</v>
      </c>
      <c r="C1059" s="4">
        <v>45744</v>
      </c>
      <c r="D1059" t="s">
        <v>241</v>
      </c>
      <c r="E1059" t="s">
        <v>1440</v>
      </c>
      <c r="F1059" t="s">
        <v>255</v>
      </c>
    </row>
    <row r="1060" spans="1:6">
      <c r="A1060" t="s">
        <v>1441</v>
      </c>
      <c r="B1060" t="str">
        <f>"10673342253451870597"</f>
        <v>10673342253451870597</v>
      </c>
      <c r="C1060" s="4">
        <v>45744</v>
      </c>
      <c r="D1060" t="s">
        <v>241</v>
      </c>
      <c r="E1060" t="s">
        <v>1442</v>
      </c>
      <c r="F1060" t="s">
        <v>255</v>
      </c>
    </row>
    <row r="1061" spans="1:6">
      <c r="A1061" t="s">
        <v>1443</v>
      </c>
      <c r="B1061" t="str">
        <f>"10673342253451834906"</f>
        <v>10673342253451834906</v>
      </c>
      <c r="C1061" s="4">
        <v>45744</v>
      </c>
      <c r="D1061" t="s">
        <v>241</v>
      </c>
      <c r="E1061" t="s">
        <v>1444</v>
      </c>
      <c r="F1061" t="s">
        <v>255</v>
      </c>
    </row>
    <row r="1062" spans="1:6">
      <c r="A1062" t="s">
        <v>1445</v>
      </c>
      <c r="B1062" t="str">
        <f>"10673342253451293883"</f>
        <v>10673342253451293883</v>
      </c>
      <c r="C1062" s="4">
        <v>45744</v>
      </c>
      <c r="D1062" t="s">
        <v>99</v>
      </c>
      <c r="E1062" t="s">
        <v>12</v>
      </c>
      <c r="F1062" t="s">
        <v>12</v>
      </c>
    </row>
    <row r="1063" spans="1:6">
      <c r="A1063" t="s">
        <v>1446</v>
      </c>
      <c r="B1063" t="str">
        <f>"10673342253451257909"</f>
        <v>10673342253451257909</v>
      </c>
      <c r="C1063" s="4">
        <v>45744</v>
      </c>
      <c r="D1063" t="s">
        <v>99</v>
      </c>
      <c r="E1063" t="s">
        <v>12</v>
      </c>
      <c r="F1063" t="s">
        <v>12</v>
      </c>
    </row>
    <row r="1064" spans="1:6">
      <c r="A1064" t="s">
        <v>1447</v>
      </c>
      <c r="B1064" t="str">
        <f>"10673342253451310788"</f>
        <v>10673342253451310788</v>
      </c>
      <c r="C1064" s="4">
        <v>45744</v>
      </c>
      <c r="D1064" t="s">
        <v>241</v>
      </c>
      <c r="E1064" t="s">
        <v>1448</v>
      </c>
      <c r="F1064" t="s">
        <v>1449</v>
      </c>
    </row>
    <row r="1065" spans="1:6">
      <c r="A1065" t="s">
        <v>1450</v>
      </c>
      <c r="B1065" t="str">
        <f>"10673342253451298656"</f>
        <v>10673342253451298656</v>
      </c>
      <c r="C1065" s="4">
        <v>45744</v>
      </c>
      <c r="D1065" t="s">
        <v>99</v>
      </c>
      <c r="E1065" t="s">
        <v>12</v>
      </c>
      <c r="F1065" t="s">
        <v>12</v>
      </c>
    </row>
    <row r="1066" spans="1:6">
      <c r="A1066" t="s">
        <v>1451</v>
      </c>
      <c r="B1066" t="str">
        <f>"10673342253451110248"</f>
        <v>10673342253451110248</v>
      </c>
      <c r="C1066" s="4">
        <v>45744</v>
      </c>
      <c r="D1066" t="s">
        <v>99</v>
      </c>
      <c r="E1066" t="s">
        <v>12</v>
      </c>
      <c r="F1066" t="s">
        <v>12</v>
      </c>
    </row>
    <row r="1067" spans="1:6">
      <c r="A1067" t="s">
        <v>1452</v>
      </c>
      <c r="B1067" t="str">
        <f>"10673342253451149588"</f>
        <v>10673342253451149588</v>
      </c>
      <c r="C1067" s="4">
        <v>45744</v>
      </c>
      <c r="D1067" t="s">
        <v>99</v>
      </c>
      <c r="E1067" t="s">
        <v>12</v>
      </c>
      <c r="F1067" t="s">
        <v>12</v>
      </c>
    </row>
    <row r="1068" spans="1:6">
      <c r="A1068" t="s">
        <v>346</v>
      </c>
      <c r="B1068" t="str">
        <f>"10677462254002922899"</f>
        <v>10677462254002922899</v>
      </c>
      <c r="C1068" s="4">
        <v>45860</v>
      </c>
      <c r="D1068" t="s">
        <v>241</v>
      </c>
      <c r="E1068" t="s">
        <v>347</v>
      </c>
      <c r="F1068" t="s">
        <v>348</v>
      </c>
    </row>
    <row r="1069" spans="1:6">
      <c r="A1069" t="s">
        <v>374</v>
      </c>
      <c r="B1069" t="str">
        <f>"10677462254003124600"</f>
        <v>10677462254003124600</v>
      </c>
      <c r="C1069" s="4">
        <v>45860</v>
      </c>
      <c r="D1069" t="s">
        <v>241</v>
      </c>
      <c r="E1069" t="s">
        <v>375</v>
      </c>
      <c r="F1069" t="s">
        <v>376</v>
      </c>
    </row>
    <row r="1070" spans="1:6">
      <c r="A1070" t="s">
        <v>399</v>
      </c>
      <c r="B1070" t="str">
        <f>"10677462254002437877"</f>
        <v>10677462254002437877</v>
      </c>
      <c r="C1070" s="4">
        <v>45860</v>
      </c>
      <c r="D1070" t="s">
        <v>241</v>
      </c>
      <c r="E1070" t="s">
        <v>400</v>
      </c>
      <c r="F1070" t="s">
        <v>348</v>
      </c>
    </row>
    <row r="1071" spans="1:6">
      <c r="A1071" t="s">
        <v>415</v>
      </c>
      <c r="B1071" t="str">
        <f>"10677462254004156115"</f>
        <v>10677462254004156115</v>
      </c>
      <c r="C1071" s="4">
        <v>45860</v>
      </c>
      <c r="D1071" t="s">
        <v>241</v>
      </c>
      <c r="E1071" t="s">
        <v>416</v>
      </c>
      <c r="F1071" t="s">
        <v>376</v>
      </c>
    </row>
    <row r="1072" spans="1:6">
      <c r="A1072" t="s">
        <v>433</v>
      </c>
      <c r="B1072" t="str">
        <f>"10677462254003942699"</f>
        <v>10677462254003942699</v>
      </c>
      <c r="C1072" s="4">
        <v>45860</v>
      </c>
      <c r="D1072" t="s">
        <v>241</v>
      </c>
      <c r="E1072" t="s">
        <v>434</v>
      </c>
      <c r="F1072" t="s">
        <v>376</v>
      </c>
    </row>
    <row r="1073" spans="1:6">
      <c r="A1073" t="s">
        <v>448</v>
      </c>
      <c r="B1073" t="str">
        <f>"10677462254003793774"</f>
        <v>10677462254003793774</v>
      </c>
      <c r="C1073" s="4">
        <v>45860</v>
      </c>
      <c r="D1073" t="s">
        <v>241</v>
      </c>
      <c r="E1073" t="s">
        <v>449</v>
      </c>
      <c r="F1073" t="s">
        <v>376</v>
      </c>
    </row>
    <row r="1074" spans="1:6">
      <c r="A1074" t="s">
        <v>1453</v>
      </c>
      <c r="B1074" t="str">
        <f>"10673342253404093776"</f>
        <v>10673342253404093776</v>
      </c>
      <c r="C1074" s="4">
        <v>45806</v>
      </c>
      <c r="D1074" t="s">
        <v>99</v>
      </c>
      <c r="E1074" t="s">
        <v>12</v>
      </c>
      <c r="F1074" t="s">
        <v>12</v>
      </c>
    </row>
    <row r="1075" spans="1:6">
      <c r="A1075" t="s">
        <v>1454</v>
      </c>
      <c r="B1075" t="str">
        <f>"10673342253403530277"</f>
        <v>10673342253403530277</v>
      </c>
      <c r="C1075" s="4">
        <v>45806</v>
      </c>
      <c r="D1075" t="s">
        <v>99</v>
      </c>
      <c r="E1075" t="s">
        <v>12</v>
      </c>
      <c r="F1075" t="s">
        <v>12</v>
      </c>
    </row>
    <row r="1076" spans="1:6">
      <c r="A1076" t="s">
        <v>1455</v>
      </c>
      <c r="B1076" t="str">
        <f>"10673342253403503970"</f>
        <v>10673342253403503970</v>
      </c>
      <c r="C1076" s="4">
        <v>45806</v>
      </c>
      <c r="D1076" t="s">
        <v>241</v>
      </c>
      <c r="E1076" t="s">
        <v>1456</v>
      </c>
      <c r="F1076" t="s">
        <v>1379</v>
      </c>
    </row>
    <row r="1077" spans="1:6">
      <c r="A1077" t="s">
        <v>1457</v>
      </c>
      <c r="B1077" t="str">
        <f>"10673342253404088004"</f>
        <v>10673342253404088004</v>
      </c>
      <c r="C1077" s="4">
        <v>45806</v>
      </c>
      <c r="D1077" t="s">
        <v>99</v>
      </c>
      <c r="E1077" t="s">
        <v>12</v>
      </c>
      <c r="F1077" t="s">
        <v>12</v>
      </c>
    </row>
    <row r="1078" spans="1:6">
      <c r="A1078" t="s">
        <v>1458</v>
      </c>
      <c r="B1078" t="str">
        <f>"10673342253403607342"</f>
        <v>10673342253403607342</v>
      </c>
      <c r="C1078" s="4">
        <v>45806</v>
      </c>
      <c r="D1078" t="s">
        <v>99</v>
      </c>
      <c r="E1078" t="s">
        <v>12</v>
      </c>
      <c r="F1078" t="s">
        <v>12</v>
      </c>
    </row>
    <row r="1079" spans="1:6">
      <c r="A1079" t="s">
        <v>1459</v>
      </c>
      <c r="B1079" t="str">
        <f>"10673342253403423144"</f>
        <v>10673342253403423144</v>
      </c>
      <c r="C1079" s="4">
        <v>45806</v>
      </c>
      <c r="D1079" t="s">
        <v>241</v>
      </c>
      <c r="E1079" t="s">
        <v>1460</v>
      </c>
      <c r="F1079" t="s">
        <v>1379</v>
      </c>
    </row>
    <row r="1080" spans="1:6">
      <c r="A1080" t="s">
        <v>1461</v>
      </c>
      <c r="B1080" t="str">
        <f>"10673342253403053126"</f>
        <v>10673342253403053126</v>
      </c>
      <c r="C1080" s="4">
        <v>45806</v>
      </c>
      <c r="D1080" t="s">
        <v>241</v>
      </c>
      <c r="E1080" t="s">
        <v>1462</v>
      </c>
      <c r="F1080" t="s">
        <v>1379</v>
      </c>
    </row>
    <row r="1081" spans="1:6">
      <c r="A1081" t="s">
        <v>358</v>
      </c>
      <c r="B1081" t="str">
        <f>"10677462254005728740"</f>
        <v>10677462254005728740</v>
      </c>
      <c r="C1081" s="4">
        <v>45866</v>
      </c>
      <c r="D1081" t="s">
        <v>241</v>
      </c>
      <c r="E1081" t="s">
        <v>359</v>
      </c>
      <c r="F1081" t="s">
        <v>360</v>
      </c>
    </row>
    <row r="1082" spans="1:6">
      <c r="A1082" t="s">
        <v>387</v>
      </c>
      <c r="B1082" t="str">
        <f>"10677462254005910077"</f>
        <v>10677462254005910077</v>
      </c>
      <c r="C1082" s="4">
        <v>45866</v>
      </c>
      <c r="D1082" t="s">
        <v>241</v>
      </c>
      <c r="E1082" t="s">
        <v>388</v>
      </c>
      <c r="F1082" t="s">
        <v>389</v>
      </c>
    </row>
    <row r="1083" spans="1:6">
      <c r="A1083" t="s">
        <v>405</v>
      </c>
      <c r="B1083" t="str">
        <f>"10677462254004665508"</f>
        <v>10677462254004665508</v>
      </c>
      <c r="C1083" s="4">
        <v>45866</v>
      </c>
      <c r="D1083" t="s">
        <v>241</v>
      </c>
      <c r="E1083" t="s">
        <v>406</v>
      </c>
      <c r="F1083" t="s">
        <v>360</v>
      </c>
    </row>
    <row r="1084" spans="1:6">
      <c r="A1084" t="s">
        <v>422</v>
      </c>
      <c r="B1084" t="str">
        <f>"10677462254006064676"</f>
        <v>10677462254006064676</v>
      </c>
      <c r="C1084" s="4">
        <v>45866</v>
      </c>
      <c r="D1084" t="s">
        <v>241</v>
      </c>
      <c r="E1084" t="s">
        <v>423</v>
      </c>
      <c r="F1084" t="s">
        <v>389</v>
      </c>
    </row>
    <row r="1085" spans="1:6">
      <c r="A1085" t="s">
        <v>439</v>
      </c>
      <c r="B1085" t="str">
        <f>"10677462254005857117"</f>
        <v>10677462254005857117</v>
      </c>
      <c r="C1085" s="4">
        <v>45866</v>
      </c>
      <c r="D1085" t="s">
        <v>241</v>
      </c>
      <c r="E1085" t="s">
        <v>440</v>
      </c>
      <c r="F1085" t="s">
        <v>389</v>
      </c>
    </row>
    <row r="1086" spans="1:6">
      <c r="A1086" t="s">
        <v>455</v>
      </c>
      <c r="B1086" t="str">
        <f>"10677462254005799362"</f>
        <v>10677462254005799362</v>
      </c>
      <c r="C1086" s="4">
        <v>45866</v>
      </c>
      <c r="D1086" t="s">
        <v>241</v>
      </c>
      <c r="E1086" t="s">
        <v>456</v>
      </c>
      <c r="F1086" t="s">
        <v>360</v>
      </c>
    </row>
    <row r="1087" spans="1:6">
      <c r="A1087" t="s">
        <v>467</v>
      </c>
      <c r="B1087" t="str">
        <f>"10677462254005367217"</f>
        <v>10677462254005367217</v>
      </c>
      <c r="C1087" s="4">
        <v>45866</v>
      </c>
      <c r="D1087" t="s">
        <v>241</v>
      </c>
      <c r="E1087" t="s">
        <v>468</v>
      </c>
      <c r="F1087" t="s">
        <v>360</v>
      </c>
    </row>
    <row r="1088" spans="1:6">
      <c r="A1088" t="s">
        <v>240</v>
      </c>
      <c r="B1088" t="str">
        <f>"10673342253479320346"</f>
        <v>10673342253479320346</v>
      </c>
      <c r="C1088" s="4">
        <v>45776</v>
      </c>
      <c r="D1088" t="s">
        <v>241</v>
      </c>
      <c r="E1088" t="s">
        <v>1463</v>
      </c>
      <c r="F1088" t="s">
        <v>1464</v>
      </c>
    </row>
    <row r="1089" spans="1:6">
      <c r="A1089" t="s">
        <v>856</v>
      </c>
      <c r="B1089" t="str">
        <f>"10673342253479494158"</f>
        <v>10673342253479494158</v>
      </c>
      <c r="C1089" s="4">
        <v>45776</v>
      </c>
      <c r="D1089" t="s">
        <v>241</v>
      </c>
      <c r="E1089" t="s">
        <v>1465</v>
      </c>
      <c r="F1089" t="s">
        <v>1464</v>
      </c>
    </row>
    <row r="1090" spans="1:6">
      <c r="A1090" t="s">
        <v>858</v>
      </c>
      <c r="B1090" t="str">
        <f>"10673342253479597054"</f>
        <v>10673342253479597054</v>
      </c>
      <c r="C1090" s="4">
        <v>45776</v>
      </c>
      <c r="D1090" t="s">
        <v>241</v>
      </c>
      <c r="E1090" t="s">
        <v>1466</v>
      </c>
      <c r="F1090" t="s">
        <v>1464</v>
      </c>
    </row>
    <row r="1091" spans="1:6">
      <c r="A1091" t="s">
        <v>1165</v>
      </c>
      <c r="B1091" t="str">
        <f>"10673342253479642106"</f>
        <v>10673342253479642106</v>
      </c>
      <c r="C1091" s="4">
        <v>45776</v>
      </c>
      <c r="D1091" t="s">
        <v>99</v>
      </c>
      <c r="E1091" t="s">
        <v>12</v>
      </c>
      <c r="F1091" t="s">
        <v>12</v>
      </c>
    </row>
    <row r="1092" spans="1:6">
      <c r="A1092" t="s">
        <v>810</v>
      </c>
      <c r="B1092" t="str">
        <f>"10673342253479960485"</f>
        <v>10673342253479960485</v>
      </c>
      <c r="C1092" s="4">
        <v>45776</v>
      </c>
      <c r="D1092" t="s">
        <v>99</v>
      </c>
      <c r="E1092" t="s">
        <v>12</v>
      </c>
      <c r="F1092" t="s">
        <v>12</v>
      </c>
    </row>
    <row r="1093" spans="1:6">
      <c r="A1093" t="s">
        <v>812</v>
      </c>
      <c r="B1093" t="str">
        <f>"10673342253480127252"</f>
        <v>10673342253480127252</v>
      </c>
      <c r="C1093" s="4">
        <v>45776</v>
      </c>
      <c r="D1093" t="s">
        <v>99</v>
      </c>
      <c r="E1093" t="s">
        <v>12</v>
      </c>
      <c r="F1093" t="s">
        <v>12</v>
      </c>
    </row>
    <row r="1094" spans="1:6">
      <c r="A1094" t="s">
        <v>249</v>
      </c>
      <c r="B1094" t="str">
        <f>"10673342253480166916"</f>
        <v>10673342253480166916</v>
      </c>
      <c r="C1094" s="4">
        <v>45776</v>
      </c>
      <c r="D1094" t="s">
        <v>99</v>
      </c>
      <c r="E1094" t="s">
        <v>12</v>
      </c>
      <c r="F1094" t="s">
        <v>12</v>
      </c>
    </row>
    <row r="1095" spans="1:6">
      <c r="A1095" t="s">
        <v>773</v>
      </c>
      <c r="B1095" t="str">
        <f>"10673342253476498020"</f>
        <v>10673342253476498020</v>
      </c>
      <c r="C1095" s="4">
        <v>45776</v>
      </c>
      <c r="D1095" t="s">
        <v>99</v>
      </c>
      <c r="E1095" t="s">
        <v>12</v>
      </c>
      <c r="F1095" t="s">
        <v>12</v>
      </c>
    </row>
    <row r="1096" spans="1:6">
      <c r="A1096" t="s">
        <v>253</v>
      </c>
      <c r="B1096" t="str">
        <f>"10673342253476569092"</f>
        <v>10673342253476569092</v>
      </c>
      <c r="C1096" s="4">
        <v>45776</v>
      </c>
      <c r="D1096" t="s">
        <v>99</v>
      </c>
      <c r="E1096" t="s">
        <v>12</v>
      </c>
      <c r="F1096" t="s">
        <v>12</v>
      </c>
    </row>
    <row r="1097" spans="1:6">
      <c r="A1097" t="s">
        <v>259</v>
      </c>
      <c r="B1097" t="str">
        <f>"10673342253476579179"</f>
        <v>10673342253476579179</v>
      </c>
      <c r="C1097" s="4">
        <v>45776</v>
      </c>
      <c r="D1097" t="s">
        <v>99</v>
      </c>
      <c r="E1097" t="s">
        <v>12</v>
      </c>
      <c r="F1097" t="s">
        <v>12</v>
      </c>
    </row>
    <row r="1098" spans="1:6">
      <c r="A1098" t="s">
        <v>264</v>
      </c>
      <c r="B1098" t="str">
        <f>"10673342253477041309"</f>
        <v>10673342253477041309</v>
      </c>
      <c r="C1098" s="4">
        <v>45776</v>
      </c>
      <c r="D1098" t="s">
        <v>99</v>
      </c>
      <c r="E1098" t="s">
        <v>12</v>
      </c>
      <c r="F1098" t="s">
        <v>12</v>
      </c>
    </row>
    <row r="1099" spans="1:6">
      <c r="A1099" t="s">
        <v>266</v>
      </c>
      <c r="B1099" t="str">
        <f>"10673342253477670344"</f>
        <v>10673342253477670344</v>
      </c>
      <c r="C1099" s="4">
        <v>45776</v>
      </c>
      <c r="D1099" t="s">
        <v>241</v>
      </c>
      <c r="E1099" t="s">
        <v>1467</v>
      </c>
      <c r="F1099" t="s">
        <v>1468</v>
      </c>
    </row>
    <row r="1100" spans="1:6">
      <c r="A1100" t="s">
        <v>268</v>
      </c>
      <c r="B1100" t="str">
        <f>"10673342253478693785"</f>
        <v>10673342253478693785</v>
      </c>
      <c r="C1100" s="4">
        <v>45776</v>
      </c>
      <c r="D1100" t="s">
        <v>241</v>
      </c>
      <c r="E1100" t="s">
        <v>1469</v>
      </c>
      <c r="F1100" t="s">
        <v>1468</v>
      </c>
    </row>
    <row r="1101" spans="1:6">
      <c r="A1101" t="s">
        <v>270</v>
      </c>
      <c r="B1101" t="str">
        <f>"10673342253478735070"</f>
        <v>10673342253478735070</v>
      </c>
      <c r="C1101" s="4">
        <v>45776</v>
      </c>
      <c r="D1101" t="s">
        <v>241</v>
      </c>
      <c r="E1101" t="s">
        <v>1470</v>
      </c>
      <c r="F1101" t="s">
        <v>1468</v>
      </c>
    </row>
    <row r="1102" spans="1:6">
      <c r="A1102" t="s">
        <v>272</v>
      </c>
      <c r="B1102" t="str">
        <f>"10673342253478861432"</f>
        <v>10673342253478861432</v>
      </c>
      <c r="C1102" s="4">
        <v>45776</v>
      </c>
      <c r="D1102" t="s">
        <v>241</v>
      </c>
      <c r="E1102" t="s">
        <v>1471</v>
      </c>
      <c r="F1102" t="s">
        <v>1464</v>
      </c>
    </row>
    <row r="1103" spans="1:6">
      <c r="A1103" t="s">
        <v>259</v>
      </c>
      <c r="B1103" t="str">
        <f>"10673342253480598603"</f>
        <v>10673342253480598603</v>
      </c>
      <c r="C1103" s="4">
        <v>45777</v>
      </c>
      <c r="D1103" t="s">
        <v>241</v>
      </c>
      <c r="E1103" t="s">
        <v>1472</v>
      </c>
      <c r="F1103" t="s">
        <v>1473</v>
      </c>
    </row>
    <row r="1104" spans="1:6">
      <c r="A1104" t="s">
        <v>264</v>
      </c>
      <c r="B1104" t="str">
        <f>"10673342253480548722"</f>
        <v>10673342253480548722</v>
      </c>
      <c r="C1104" s="4">
        <v>45777</v>
      </c>
      <c r="D1104" t="s">
        <v>241</v>
      </c>
      <c r="E1104" t="s">
        <v>1474</v>
      </c>
      <c r="F1104" t="s">
        <v>1473</v>
      </c>
    </row>
    <row r="1105" spans="1:6">
      <c r="A1105" t="s">
        <v>266</v>
      </c>
      <c r="B1105" t="str">
        <f>"10673342253481037931"</f>
        <v>10673342253481037931</v>
      </c>
      <c r="C1105" s="4">
        <v>45777</v>
      </c>
      <c r="D1105" t="s">
        <v>241</v>
      </c>
      <c r="E1105" t="s">
        <v>1475</v>
      </c>
      <c r="F1105" t="s">
        <v>1473</v>
      </c>
    </row>
    <row r="1106" spans="1:6">
      <c r="A1106" t="s">
        <v>268</v>
      </c>
      <c r="B1106" t="str">
        <f>"10673342253481335096"</f>
        <v>10673342253481335096</v>
      </c>
      <c r="C1106" s="4">
        <v>45777</v>
      </c>
      <c r="D1106" t="s">
        <v>241</v>
      </c>
      <c r="E1106" t="s">
        <v>1476</v>
      </c>
      <c r="F1106" t="s">
        <v>1473</v>
      </c>
    </row>
    <row r="1107" spans="1:6">
      <c r="A1107" t="s">
        <v>270</v>
      </c>
      <c r="B1107" t="str">
        <f>"10673342253481532789"</f>
        <v>10673342253481532789</v>
      </c>
      <c r="C1107" s="4">
        <v>45777</v>
      </c>
      <c r="D1107" t="s">
        <v>99</v>
      </c>
      <c r="E1107" t="s">
        <v>12</v>
      </c>
      <c r="F1107" t="s">
        <v>12</v>
      </c>
    </row>
    <row r="1108" spans="1:6">
      <c r="A1108" t="s">
        <v>1477</v>
      </c>
      <c r="B1108" t="str">
        <f>"10673342253405545492"</f>
        <v>10673342253405545492</v>
      </c>
      <c r="C1108" s="4">
        <v>45807</v>
      </c>
      <c r="D1108" t="s">
        <v>99</v>
      </c>
      <c r="E1108" t="s">
        <v>12</v>
      </c>
      <c r="F1108" t="s">
        <v>12</v>
      </c>
    </row>
    <row r="1109" spans="1:6">
      <c r="A1109" t="s">
        <v>1478</v>
      </c>
      <c r="B1109" t="str">
        <f>"10673342253406374667"</f>
        <v>10673342253406374667</v>
      </c>
      <c r="C1109" s="4">
        <v>45807</v>
      </c>
      <c r="D1109" t="s">
        <v>99</v>
      </c>
      <c r="E1109" t="s">
        <v>12</v>
      </c>
      <c r="F1109" t="s">
        <v>12</v>
      </c>
    </row>
    <row r="1110" spans="1:6">
      <c r="A1110" t="s">
        <v>1479</v>
      </c>
      <c r="B1110" t="str">
        <f>"10673342253405256253"</f>
        <v>10673342253405256253</v>
      </c>
      <c r="C1110" s="4">
        <v>45807</v>
      </c>
      <c r="D1110" t="s">
        <v>99</v>
      </c>
      <c r="E1110" t="s">
        <v>12</v>
      </c>
      <c r="F1110" t="s">
        <v>12</v>
      </c>
    </row>
    <row r="1111" spans="1:6">
      <c r="A1111" t="s">
        <v>1480</v>
      </c>
      <c r="B1111" t="str">
        <f>"10673342253404455449"</f>
        <v>10673342253404455449</v>
      </c>
      <c r="C1111" s="4">
        <v>45807</v>
      </c>
      <c r="D1111" t="s">
        <v>99</v>
      </c>
      <c r="E1111" t="s">
        <v>12</v>
      </c>
      <c r="F1111" t="s">
        <v>12</v>
      </c>
    </row>
    <row r="1112" spans="1:6">
      <c r="A1112" t="s">
        <v>1481</v>
      </c>
      <c r="B1112" t="str">
        <f>"10673342253404481865"</f>
        <v>10673342253404481865</v>
      </c>
      <c r="C1112" s="4">
        <v>45807</v>
      </c>
      <c r="D1112" t="s">
        <v>99</v>
      </c>
      <c r="E1112" t="s">
        <v>12</v>
      </c>
      <c r="F1112" t="s">
        <v>12</v>
      </c>
    </row>
    <row r="1113" spans="1:6">
      <c r="A1113" t="s">
        <v>1482</v>
      </c>
      <c r="B1113" t="str">
        <f>"10673342253405768521"</f>
        <v>10673342253405768521</v>
      </c>
      <c r="C1113" s="4">
        <v>45807</v>
      </c>
      <c r="D1113" t="s">
        <v>99</v>
      </c>
      <c r="E1113" t="s">
        <v>12</v>
      </c>
      <c r="F1113" t="s">
        <v>12</v>
      </c>
    </row>
    <row r="1114" spans="1:6">
      <c r="A1114" t="s">
        <v>1165</v>
      </c>
      <c r="B1114" t="str">
        <f>"10673342253452633149"</f>
        <v>10673342253452633149</v>
      </c>
      <c r="C1114" s="4">
        <v>45747</v>
      </c>
      <c r="D1114" t="s">
        <v>241</v>
      </c>
      <c r="E1114" t="s">
        <v>1415</v>
      </c>
      <c r="F1114" t="s">
        <v>1416</v>
      </c>
    </row>
    <row r="1115" spans="1:6">
      <c r="A1115" t="s">
        <v>810</v>
      </c>
      <c r="B1115" t="str">
        <f>"10673342253452736886"</f>
        <v>10673342253452736886</v>
      </c>
      <c r="C1115" s="4">
        <v>45747</v>
      </c>
      <c r="D1115" t="s">
        <v>241</v>
      </c>
      <c r="E1115" t="s">
        <v>1417</v>
      </c>
      <c r="F1115" t="s">
        <v>1416</v>
      </c>
    </row>
    <row r="1116" spans="1:6">
      <c r="A1116" t="s">
        <v>812</v>
      </c>
      <c r="B1116" t="str">
        <f>"10673342253452634129"</f>
        <v>10673342253452634129</v>
      </c>
      <c r="C1116" s="4">
        <v>45747</v>
      </c>
      <c r="D1116" t="s">
        <v>241</v>
      </c>
      <c r="E1116" t="s">
        <v>1418</v>
      </c>
      <c r="F1116" t="s">
        <v>1416</v>
      </c>
    </row>
    <row r="1117" spans="1:6">
      <c r="A1117" t="s">
        <v>249</v>
      </c>
      <c r="B1117" t="str">
        <f>"10673342253452084595"</f>
        <v>10673342253452084595</v>
      </c>
      <c r="C1117" s="4">
        <v>45747</v>
      </c>
      <c r="D1117" t="s">
        <v>241</v>
      </c>
      <c r="E1117" t="s">
        <v>1419</v>
      </c>
      <c r="F1117" t="s">
        <v>1420</v>
      </c>
    </row>
    <row r="1118" spans="1:6">
      <c r="A1118" t="s">
        <v>251</v>
      </c>
      <c r="B1118" t="str">
        <f>"10673342253452626185"</f>
        <v>10673342253452626185</v>
      </c>
      <c r="C1118" s="4">
        <v>45747</v>
      </c>
      <c r="D1118" t="s">
        <v>241</v>
      </c>
      <c r="E1118" t="s">
        <v>1421</v>
      </c>
      <c r="F1118" t="s">
        <v>1416</v>
      </c>
    </row>
    <row r="1119" spans="1:6">
      <c r="A1119" t="s">
        <v>562</v>
      </c>
      <c r="B1119" t="str">
        <f>"10673342253452054629"</f>
        <v>10673342253452054629</v>
      </c>
      <c r="C1119" s="4">
        <v>45747</v>
      </c>
      <c r="D1119" t="s">
        <v>241</v>
      </c>
      <c r="E1119" t="s">
        <v>1422</v>
      </c>
      <c r="F1119" t="s">
        <v>1420</v>
      </c>
    </row>
    <row r="1120" spans="1:6">
      <c r="A1120" t="s">
        <v>652</v>
      </c>
      <c r="B1120" t="str">
        <f>"10673342253451989225"</f>
        <v>10673342253451989225</v>
      </c>
      <c r="C1120" s="4">
        <v>45747</v>
      </c>
      <c r="D1120" t="s">
        <v>241</v>
      </c>
      <c r="E1120" t="s">
        <v>1423</v>
      </c>
      <c r="F1120" t="s">
        <v>1420</v>
      </c>
    </row>
    <row r="1121" spans="1:6">
      <c r="A1121" t="s">
        <v>1483</v>
      </c>
      <c r="B1121" t="str">
        <f>"10673342253481736627"</f>
        <v>10673342253481736627</v>
      </c>
      <c r="C1121" s="4">
        <v>45782</v>
      </c>
      <c r="D1121" t="s">
        <v>99</v>
      </c>
      <c r="E1121" t="s">
        <v>12</v>
      </c>
      <c r="F1121" t="s">
        <v>12</v>
      </c>
    </row>
    <row r="1122" spans="1:6">
      <c r="A1122" t="s">
        <v>1484</v>
      </c>
      <c r="B1122" t="str">
        <f>"10673342253484981231"</f>
        <v>10673342253484981231</v>
      </c>
      <c r="C1122" s="4">
        <v>45784</v>
      </c>
      <c r="D1122" t="s">
        <v>241</v>
      </c>
      <c r="E1122" t="s">
        <v>1485</v>
      </c>
      <c r="F1122" t="s">
        <v>797</v>
      </c>
    </row>
    <row r="1123" spans="1:6">
      <c r="A1123" t="s">
        <v>1486</v>
      </c>
      <c r="B1123" t="str">
        <f>"10673342253480548722"</f>
        <v>10673342253480548722</v>
      </c>
      <c r="C1123" s="4">
        <v>45777</v>
      </c>
      <c r="D1123" t="s">
        <v>241</v>
      </c>
      <c r="E1123" t="s">
        <v>1474</v>
      </c>
      <c r="F1123" t="s">
        <v>1473</v>
      </c>
    </row>
    <row r="1124" spans="1:6">
      <c r="A1124" t="s">
        <v>1487</v>
      </c>
      <c r="B1124" t="str">
        <f>"10673342253481813346"</f>
        <v>10673342253481813346</v>
      </c>
      <c r="C1124" s="4">
        <v>45782</v>
      </c>
      <c r="D1124" t="s">
        <v>99</v>
      </c>
      <c r="E1124" t="s">
        <v>12</v>
      </c>
      <c r="F1124" t="s">
        <v>12</v>
      </c>
    </row>
    <row r="1125" spans="1:6">
      <c r="A1125" t="s">
        <v>1488</v>
      </c>
      <c r="B1125" t="str">
        <f>"10673342253484895440"</f>
        <v>10673342253484895440</v>
      </c>
      <c r="C1125" s="4">
        <v>45784</v>
      </c>
      <c r="D1125" t="s">
        <v>241</v>
      </c>
      <c r="E1125" t="s">
        <v>1489</v>
      </c>
      <c r="F1125" t="s">
        <v>797</v>
      </c>
    </row>
    <row r="1126" spans="1:6">
      <c r="A1126" t="s">
        <v>1490</v>
      </c>
      <c r="B1126" t="str">
        <f>"10673342253480598603"</f>
        <v>10673342253480598603</v>
      </c>
      <c r="C1126" s="4">
        <v>45777</v>
      </c>
      <c r="D1126" t="s">
        <v>241</v>
      </c>
      <c r="E1126" t="s">
        <v>1472</v>
      </c>
      <c r="F1126" t="s">
        <v>1473</v>
      </c>
    </row>
    <row r="1127" spans="1:6">
      <c r="A1127" t="s">
        <v>1491</v>
      </c>
      <c r="B1127" t="str">
        <f>"10673342253482319825"</f>
        <v>10673342253482319825</v>
      </c>
      <c r="C1127" s="4">
        <v>45782</v>
      </c>
      <c r="D1127" t="s">
        <v>99</v>
      </c>
      <c r="E1127" t="s">
        <v>12</v>
      </c>
      <c r="F1127" t="s">
        <v>12</v>
      </c>
    </row>
    <row r="1128" spans="1:6">
      <c r="A1128" t="s">
        <v>1492</v>
      </c>
      <c r="B1128" t="str">
        <f>"10673342253484502864"</f>
        <v>10673342253484502864</v>
      </c>
      <c r="C1128" s="4">
        <v>45784</v>
      </c>
      <c r="D1128" t="s">
        <v>241</v>
      </c>
      <c r="E1128" t="s">
        <v>1493</v>
      </c>
      <c r="F1128" t="s">
        <v>1494</v>
      </c>
    </row>
    <row r="1129" spans="1:6">
      <c r="A1129" t="s">
        <v>1495</v>
      </c>
      <c r="B1129" t="str">
        <f>"10673342253481335096"</f>
        <v>10673342253481335096</v>
      </c>
      <c r="C1129" s="4">
        <v>45777</v>
      </c>
      <c r="D1129" t="s">
        <v>241</v>
      </c>
      <c r="E1129" t="s">
        <v>1476</v>
      </c>
      <c r="F1129" t="s">
        <v>1473</v>
      </c>
    </row>
    <row r="1130" spans="1:6">
      <c r="A1130" t="s">
        <v>1496</v>
      </c>
      <c r="B1130" t="str">
        <f>"10673342253481815993"</f>
        <v>10673342253481815993</v>
      </c>
      <c r="C1130" s="4">
        <v>45782</v>
      </c>
      <c r="D1130" t="s">
        <v>99</v>
      </c>
      <c r="E1130" t="s">
        <v>12</v>
      </c>
      <c r="F1130" t="s">
        <v>12</v>
      </c>
    </row>
    <row r="1131" spans="1:6">
      <c r="A1131" t="s">
        <v>1497</v>
      </c>
      <c r="B1131" t="str">
        <f>"10673342253484859797"</f>
        <v>10673342253484859797</v>
      </c>
      <c r="C1131" s="4">
        <v>45784</v>
      </c>
      <c r="D1131" t="s">
        <v>241</v>
      </c>
      <c r="E1131" t="s">
        <v>1498</v>
      </c>
      <c r="F1131" t="s">
        <v>1494</v>
      </c>
    </row>
    <row r="1132" spans="1:6">
      <c r="A1132" t="s">
        <v>1499</v>
      </c>
      <c r="B1132" t="str">
        <f>"10673342253481037931"</f>
        <v>10673342253481037931</v>
      </c>
      <c r="C1132" s="4">
        <v>45777</v>
      </c>
      <c r="D1132" t="s">
        <v>241</v>
      </c>
      <c r="E1132" t="s">
        <v>1475</v>
      </c>
      <c r="F1132" t="s">
        <v>1473</v>
      </c>
    </row>
    <row r="1133" spans="1:6">
      <c r="A1133" t="s">
        <v>1500</v>
      </c>
      <c r="B1133" t="str">
        <f>"10673342253481882331"</f>
        <v>10673342253481882331</v>
      </c>
      <c r="C1133" s="4">
        <v>45782</v>
      </c>
      <c r="D1133" t="s">
        <v>99</v>
      </c>
      <c r="E1133" t="s">
        <v>12</v>
      </c>
      <c r="F1133" t="s">
        <v>12</v>
      </c>
    </row>
    <row r="1134" spans="1:6">
      <c r="A1134" t="s">
        <v>1501</v>
      </c>
      <c r="B1134" t="str">
        <f>"10673342253483816016"</f>
        <v>10673342253483816016</v>
      </c>
      <c r="C1134" s="4">
        <v>45784</v>
      </c>
      <c r="D1134" t="s">
        <v>99</v>
      </c>
      <c r="E1134" t="s">
        <v>12</v>
      </c>
      <c r="F1134" t="s">
        <v>12</v>
      </c>
    </row>
    <row r="1135" spans="1:6">
      <c r="A1135" t="s">
        <v>1502</v>
      </c>
      <c r="B1135" t="str">
        <f>"10673342253481532789"</f>
        <v>10673342253481532789</v>
      </c>
      <c r="C1135" s="4">
        <v>45777</v>
      </c>
      <c r="D1135" t="s">
        <v>99</v>
      </c>
      <c r="E1135" t="s">
        <v>12</v>
      </c>
      <c r="F1135" t="s">
        <v>12</v>
      </c>
    </row>
    <row r="1136" spans="1:6">
      <c r="A1136" t="s">
        <v>1503</v>
      </c>
      <c r="B1136" t="str">
        <f>"10673342253482530828"</f>
        <v>10673342253482530828</v>
      </c>
      <c r="C1136" s="4">
        <v>45782</v>
      </c>
      <c r="D1136" t="s">
        <v>99</v>
      </c>
      <c r="E1136" t="s">
        <v>12</v>
      </c>
      <c r="F1136" t="s">
        <v>12</v>
      </c>
    </row>
    <row r="1137" spans="1:6">
      <c r="A1137" t="s">
        <v>1504</v>
      </c>
      <c r="B1137" t="str">
        <f>"10673342253484414590"</f>
        <v>10673342253484414590</v>
      </c>
      <c r="C1137" s="4">
        <v>45784</v>
      </c>
      <c r="D1137" t="s">
        <v>241</v>
      </c>
      <c r="E1137" t="s">
        <v>1505</v>
      </c>
      <c r="F1137" t="s">
        <v>1494</v>
      </c>
    </row>
    <row r="1138" spans="1:6">
      <c r="A1138" t="s">
        <v>1506</v>
      </c>
      <c r="B1138" t="str">
        <f>"10673342253482436244"</f>
        <v>10673342253482436244</v>
      </c>
      <c r="C1138" s="4">
        <v>45782</v>
      </c>
      <c r="D1138" t="s">
        <v>99</v>
      </c>
      <c r="E1138" t="s">
        <v>12</v>
      </c>
      <c r="F1138" t="s">
        <v>12</v>
      </c>
    </row>
    <row r="1139" spans="1:6">
      <c r="A1139" t="s">
        <v>1507</v>
      </c>
      <c r="B1139" t="str">
        <f>"10673342253483913887"</f>
        <v>10673342253483913887</v>
      </c>
      <c r="C1139" s="4">
        <v>45784</v>
      </c>
      <c r="D1139" t="s">
        <v>241</v>
      </c>
      <c r="E1139" t="s">
        <v>1508</v>
      </c>
      <c r="F1139" t="s">
        <v>1494</v>
      </c>
    </row>
    <row r="1140" spans="1:6">
      <c r="A1140" t="s">
        <v>1509</v>
      </c>
      <c r="B1140" t="str">
        <f>"10673342253482597094"</f>
        <v>10673342253482597094</v>
      </c>
      <c r="C1140" s="4">
        <v>45782</v>
      </c>
      <c r="D1140" t="s">
        <v>241</v>
      </c>
      <c r="E1140" t="s">
        <v>1510</v>
      </c>
      <c r="F1140" t="s">
        <v>1511</v>
      </c>
    </row>
    <row r="1141" spans="1:6">
      <c r="A1141" t="s">
        <v>1512</v>
      </c>
      <c r="B1141" t="str">
        <f>"10673342253483643103"</f>
        <v>10673342253483643103</v>
      </c>
      <c r="C1141" s="4">
        <v>45784</v>
      </c>
      <c r="D1141" t="s">
        <v>99</v>
      </c>
      <c r="E1141" t="s">
        <v>12</v>
      </c>
      <c r="F1141" t="s">
        <v>12</v>
      </c>
    </row>
    <row r="1142" spans="1:6">
      <c r="A1142" t="s">
        <v>1513</v>
      </c>
      <c r="B1142" t="str">
        <f>"10673342253482620274"</f>
        <v>10673342253482620274</v>
      </c>
      <c r="C1142" s="4">
        <v>45782</v>
      </c>
      <c r="D1142" t="s">
        <v>241</v>
      </c>
      <c r="E1142" t="s">
        <v>1514</v>
      </c>
      <c r="F1142" t="s">
        <v>1511</v>
      </c>
    </row>
    <row r="1143" spans="1:6">
      <c r="A1143" t="s">
        <v>1515</v>
      </c>
      <c r="B1143" t="str">
        <f>"10673342253483795345"</f>
        <v>10673342253483795345</v>
      </c>
      <c r="C1143" s="4">
        <v>45784</v>
      </c>
      <c r="D1143" t="s">
        <v>99</v>
      </c>
      <c r="E1143" t="s">
        <v>12</v>
      </c>
      <c r="F1143" t="s">
        <v>12</v>
      </c>
    </row>
    <row r="1144" spans="1:6">
      <c r="A1144" t="s">
        <v>1516</v>
      </c>
      <c r="B1144" t="str">
        <f>"10673342253482671097"</f>
        <v>10673342253482671097</v>
      </c>
      <c r="C1144" s="4">
        <v>45782</v>
      </c>
      <c r="D1144" t="s">
        <v>241</v>
      </c>
      <c r="E1144" t="s">
        <v>1517</v>
      </c>
      <c r="F1144" t="s">
        <v>1511</v>
      </c>
    </row>
    <row r="1145" spans="1:6">
      <c r="A1145" t="s">
        <v>1518</v>
      </c>
      <c r="B1145" t="str">
        <f>"10673342253483482975"</f>
        <v>10673342253483482975</v>
      </c>
      <c r="C1145" s="4">
        <v>45784</v>
      </c>
      <c r="D1145" t="s">
        <v>241</v>
      </c>
      <c r="E1145" t="s">
        <v>1519</v>
      </c>
      <c r="F1145" t="s">
        <v>1520</v>
      </c>
    </row>
    <row r="1146" spans="1:6">
      <c r="A1146" t="s">
        <v>1521</v>
      </c>
      <c r="B1146" t="str">
        <f>"10673342253483596563"</f>
        <v>10673342253483596563</v>
      </c>
      <c r="C1146" s="4">
        <v>45784</v>
      </c>
      <c r="D1146" t="s">
        <v>99</v>
      </c>
      <c r="E1146" t="s">
        <v>12</v>
      </c>
      <c r="F1146" t="s">
        <v>12</v>
      </c>
    </row>
    <row r="1147" spans="1:6">
      <c r="A1147" t="s">
        <v>1522</v>
      </c>
      <c r="B1147" t="str">
        <f>"10673342253483574187"</f>
        <v>10673342253483574187</v>
      </c>
      <c r="C1147" s="4">
        <v>45784</v>
      </c>
      <c r="D1147" t="s">
        <v>241</v>
      </c>
      <c r="E1147" t="s">
        <v>1523</v>
      </c>
      <c r="F1147" t="s">
        <v>1520</v>
      </c>
    </row>
    <row r="1148" spans="1:6">
      <c r="A1148" t="s">
        <v>1524</v>
      </c>
      <c r="B1148" t="str">
        <f>"10673342253483265015"</f>
        <v>10673342253483265015</v>
      </c>
      <c r="C1148" s="4">
        <v>45784</v>
      </c>
      <c r="D1148" t="s">
        <v>241</v>
      </c>
      <c r="E1148" t="s">
        <v>1525</v>
      </c>
      <c r="F1148" t="s">
        <v>1520</v>
      </c>
    </row>
    <row r="1149" spans="1:6">
      <c r="A1149" t="s">
        <v>1526</v>
      </c>
      <c r="B1149" t="str">
        <f>"10673342253483265079"</f>
        <v>10673342253483265079</v>
      </c>
      <c r="C1149" s="4">
        <v>45784</v>
      </c>
      <c r="D1149" t="s">
        <v>241</v>
      </c>
      <c r="E1149" t="s">
        <v>1527</v>
      </c>
      <c r="F1149" t="s">
        <v>1520</v>
      </c>
    </row>
    <row r="1150" spans="1:6">
      <c r="A1150" t="s">
        <v>1528</v>
      </c>
      <c r="B1150" t="str">
        <f>"10673342253483249979"</f>
        <v>10673342253483249979</v>
      </c>
      <c r="C1150" s="4">
        <v>45784</v>
      </c>
      <c r="D1150" t="s">
        <v>241</v>
      </c>
      <c r="E1150" t="s">
        <v>1529</v>
      </c>
      <c r="F1150" t="s">
        <v>1511</v>
      </c>
    </row>
    <row r="1151" spans="1:6">
      <c r="A1151" t="s">
        <v>630</v>
      </c>
      <c r="B1151" t="str">
        <f>"10673342253478246568"</f>
        <v>10673342253478246568</v>
      </c>
      <c r="C1151" s="4">
        <v>45776</v>
      </c>
      <c r="D1151" t="s">
        <v>241</v>
      </c>
      <c r="E1151" t="s">
        <v>1530</v>
      </c>
      <c r="F1151" t="s">
        <v>1468</v>
      </c>
    </row>
    <row r="1152" spans="1:6">
      <c r="A1152" t="s">
        <v>632</v>
      </c>
      <c r="B1152" t="str">
        <f>"10673342253478173463"</f>
        <v>10673342253478173463</v>
      </c>
      <c r="C1152" s="4">
        <v>45776</v>
      </c>
      <c r="D1152" t="s">
        <v>241</v>
      </c>
      <c r="E1152" t="s">
        <v>1531</v>
      </c>
      <c r="F1152" t="s">
        <v>1152</v>
      </c>
    </row>
    <row r="1153" spans="1:6">
      <c r="A1153" t="s">
        <v>1532</v>
      </c>
      <c r="B1153" t="str">
        <f>"10673342253476399987"</f>
        <v>10673342253476399987</v>
      </c>
      <c r="C1153" s="4">
        <v>45771</v>
      </c>
      <c r="D1153" t="s">
        <v>241</v>
      </c>
      <c r="E1153" t="s">
        <v>1533</v>
      </c>
      <c r="F1153" t="s">
        <v>1230</v>
      </c>
    </row>
    <row r="1154" spans="1:6">
      <c r="A1154" t="s">
        <v>1534</v>
      </c>
      <c r="B1154" t="str">
        <f>"10673342253476422571"</f>
        <v>10673342253476422571</v>
      </c>
      <c r="C1154" s="4">
        <v>45771</v>
      </c>
      <c r="D1154" t="s">
        <v>241</v>
      </c>
      <c r="E1154" t="s">
        <v>1535</v>
      </c>
      <c r="F1154" t="s">
        <v>1152</v>
      </c>
    </row>
    <row r="1155" spans="1:6">
      <c r="A1155" t="s">
        <v>1536</v>
      </c>
      <c r="B1155" t="str">
        <f>"10673342253475982727"</f>
        <v>10673342253475982727</v>
      </c>
      <c r="C1155" s="4">
        <v>45771</v>
      </c>
      <c r="D1155" t="s">
        <v>99</v>
      </c>
      <c r="E1155" t="s">
        <v>12</v>
      </c>
      <c r="F1155" t="s">
        <v>12</v>
      </c>
    </row>
    <row r="1156" spans="1:6">
      <c r="A1156" t="s">
        <v>978</v>
      </c>
      <c r="B1156" t="str">
        <f>"10673342253476181779"</f>
        <v>10673342253476181779</v>
      </c>
      <c r="C1156" s="4">
        <v>45771</v>
      </c>
      <c r="D1156" t="s">
        <v>241</v>
      </c>
      <c r="E1156" t="s">
        <v>1537</v>
      </c>
      <c r="F1156" t="s">
        <v>1230</v>
      </c>
    </row>
    <row r="1157" spans="1:6">
      <c r="A1157" t="s">
        <v>1538</v>
      </c>
      <c r="B1157" t="str">
        <f>"10673342253476107943"</f>
        <v>10673342253476107943</v>
      </c>
      <c r="C1157" s="4">
        <v>45771</v>
      </c>
      <c r="D1157" t="s">
        <v>99</v>
      </c>
      <c r="E1157" t="s">
        <v>12</v>
      </c>
      <c r="F1157" t="s">
        <v>12</v>
      </c>
    </row>
    <row r="1158" spans="1:6">
      <c r="A1158" t="s">
        <v>981</v>
      </c>
      <c r="B1158" t="str">
        <f>"10673342253475670873"</f>
        <v>10673342253475670873</v>
      </c>
      <c r="C1158" s="4">
        <v>45771</v>
      </c>
      <c r="D1158" t="s">
        <v>99</v>
      </c>
      <c r="E1158" t="s">
        <v>12</v>
      </c>
      <c r="F1158" t="s">
        <v>12</v>
      </c>
    </row>
    <row r="1159" spans="1:6">
      <c r="A1159" t="s">
        <v>1539</v>
      </c>
      <c r="B1159" t="str">
        <f>"10673342243495136105"</f>
        <v>10673342243495136105</v>
      </c>
      <c r="C1159" s="4">
        <v>45650</v>
      </c>
      <c r="D1159" t="s">
        <v>241</v>
      </c>
      <c r="E1159" t="s">
        <v>1540</v>
      </c>
      <c r="F1159" t="s">
        <v>1541</v>
      </c>
    </row>
    <row r="1160" spans="1:6">
      <c r="A1160" t="s">
        <v>1542</v>
      </c>
      <c r="B1160" t="str">
        <f>"10673342243495233755"</f>
        <v>10673342243495233755</v>
      </c>
      <c r="C1160" s="4">
        <v>45650</v>
      </c>
      <c r="D1160" t="s">
        <v>99</v>
      </c>
      <c r="E1160" t="s">
        <v>12</v>
      </c>
      <c r="F1160" t="s">
        <v>12</v>
      </c>
    </row>
    <row r="1161" spans="1:6">
      <c r="A1161" t="s">
        <v>1543</v>
      </c>
      <c r="B1161" t="str">
        <f>"10673342243495049903"</f>
        <v>10673342243495049903</v>
      </c>
      <c r="C1161" s="4">
        <v>45650</v>
      </c>
      <c r="D1161" t="s">
        <v>241</v>
      </c>
      <c r="E1161" t="s">
        <v>1544</v>
      </c>
      <c r="F1161" t="s">
        <v>1541</v>
      </c>
    </row>
    <row r="1162" spans="1:6">
      <c r="A1162" t="s">
        <v>1545</v>
      </c>
      <c r="B1162" t="str">
        <f>"10673342243495047560"</f>
        <v>10673342243495047560</v>
      </c>
      <c r="C1162" s="4">
        <v>45650</v>
      </c>
      <c r="D1162" t="s">
        <v>241</v>
      </c>
      <c r="E1162" t="s">
        <v>1546</v>
      </c>
      <c r="F1162" t="s">
        <v>1541</v>
      </c>
    </row>
    <row r="1163" spans="1:6">
      <c r="A1163" t="s">
        <v>1547</v>
      </c>
      <c r="B1163" t="str">
        <f>"10673342243494956635"</f>
        <v>10673342243494956635</v>
      </c>
      <c r="C1163" s="4">
        <v>45650</v>
      </c>
      <c r="D1163" t="s">
        <v>99</v>
      </c>
      <c r="E1163" t="s">
        <v>12</v>
      </c>
      <c r="F1163" t="s">
        <v>12</v>
      </c>
    </row>
    <row r="1164" spans="1:6">
      <c r="A1164" t="s">
        <v>1548</v>
      </c>
      <c r="B1164" t="str">
        <f>"10673621240232703630"</f>
        <v>10673621240232703630</v>
      </c>
      <c r="C1164" s="4">
        <v>45483</v>
      </c>
      <c r="D1164" t="s">
        <v>99</v>
      </c>
      <c r="E1164" t="s">
        <v>12</v>
      </c>
      <c r="F1164" t="s">
        <v>12</v>
      </c>
    </row>
    <row r="1165" spans="1:6">
      <c r="A1165" t="s">
        <v>1549</v>
      </c>
      <c r="B1165" t="str">
        <f>"1140000000016049248162"</f>
        <v>1140000000016049248162</v>
      </c>
      <c r="C1165" s="4">
        <v>45695</v>
      </c>
      <c r="D1165" t="s">
        <v>99</v>
      </c>
      <c r="E1165" t="s">
        <v>12</v>
      </c>
      <c r="F1165" t="s">
        <v>12</v>
      </c>
    </row>
    <row r="1166" spans="1:6">
      <c r="A1166" t="s">
        <v>1550</v>
      </c>
      <c r="B1166" t="s">
        <v>12</v>
      </c>
      <c r="C1166" t="s">
        <v>12</v>
      </c>
      <c r="D1166" t="s">
        <v>1003</v>
      </c>
      <c r="E1166" t="s">
        <v>12</v>
      </c>
      <c r="F1166" t="s">
        <v>12</v>
      </c>
    </row>
    <row r="1167" spans="1:6">
      <c r="A1167" t="s">
        <v>1551</v>
      </c>
      <c r="B1167" t="str">
        <f>"1210000000772603078734"</f>
        <v>1210000000772603078734</v>
      </c>
      <c r="C1167" s="4">
        <v>45685</v>
      </c>
      <c r="D1167" t="s">
        <v>99</v>
      </c>
      <c r="E1167" t="s">
        <v>12</v>
      </c>
      <c r="F1167" t="s">
        <v>12</v>
      </c>
    </row>
    <row r="1168" spans="1:6">
      <c r="A1168" t="s">
        <v>1552</v>
      </c>
      <c r="B1168" t="str">
        <f>"4000000000502700676578"</f>
        <v>4000000000502700676578</v>
      </c>
      <c r="C1168" s="4">
        <v>45691</v>
      </c>
      <c r="D1168" t="s">
        <v>99</v>
      </c>
      <c r="E1168" t="s">
        <v>12</v>
      </c>
      <c r="F1168" t="s">
        <v>12</v>
      </c>
    </row>
    <row r="1169" spans="1:6">
      <c r="A1169" t="s">
        <v>1553</v>
      </c>
      <c r="B1169" t="str">
        <f>"1140000000012721204107"</f>
        <v>1140000000012721204107</v>
      </c>
      <c r="C1169" s="4">
        <v>45679</v>
      </c>
      <c r="D1169" t="s">
        <v>99</v>
      </c>
      <c r="E1169" t="s">
        <v>12</v>
      </c>
      <c r="F1169" t="s">
        <v>12</v>
      </c>
    </row>
    <row r="1170" spans="1:6">
      <c r="A1170" t="s">
        <v>1165</v>
      </c>
      <c r="B1170" t="str">
        <f>"10673342253420400424"</f>
        <v>10673342253420400424</v>
      </c>
      <c r="C1170" s="4">
        <v>45706</v>
      </c>
      <c r="D1170" t="s">
        <v>99</v>
      </c>
      <c r="E1170" t="s">
        <v>12</v>
      </c>
      <c r="F1170" t="s">
        <v>12</v>
      </c>
    </row>
    <row r="1171" spans="1:6">
      <c r="A1171" t="s">
        <v>810</v>
      </c>
      <c r="B1171" t="str">
        <f>"10673342253420238910"</f>
        <v>10673342253420238910</v>
      </c>
      <c r="C1171" s="4">
        <v>45706</v>
      </c>
      <c r="D1171" t="s">
        <v>99</v>
      </c>
      <c r="E1171" t="s">
        <v>12</v>
      </c>
      <c r="F1171" t="s">
        <v>12</v>
      </c>
    </row>
    <row r="1172" spans="1:6">
      <c r="A1172" t="s">
        <v>812</v>
      </c>
      <c r="B1172" t="str">
        <f>"10673342253420345342"</f>
        <v>10673342253420345342</v>
      </c>
      <c r="C1172" s="4">
        <v>45706</v>
      </c>
      <c r="D1172" t="s">
        <v>99</v>
      </c>
      <c r="E1172" t="s">
        <v>12</v>
      </c>
      <c r="F1172" t="s">
        <v>12</v>
      </c>
    </row>
    <row r="1173" spans="1:6">
      <c r="A1173" t="s">
        <v>251</v>
      </c>
      <c r="B1173" t="str">
        <f>"10673342253420090409"</f>
        <v>10673342253420090409</v>
      </c>
      <c r="C1173" s="4">
        <v>45706</v>
      </c>
      <c r="D1173" t="s">
        <v>99</v>
      </c>
      <c r="E1173" t="s">
        <v>12</v>
      </c>
      <c r="F1173" t="s">
        <v>12</v>
      </c>
    </row>
    <row r="1174" spans="1:6">
      <c r="A1174" t="s">
        <v>654</v>
      </c>
      <c r="B1174" t="str">
        <f>"10673342253423891542"</f>
        <v>10673342253423891542</v>
      </c>
      <c r="C1174" s="4">
        <v>45709</v>
      </c>
      <c r="D1174" t="s">
        <v>241</v>
      </c>
      <c r="E1174" t="s">
        <v>1169</v>
      </c>
      <c r="F1174" t="s">
        <v>1170</v>
      </c>
    </row>
    <row r="1175" spans="1:6">
      <c r="A1175" t="s">
        <v>659</v>
      </c>
      <c r="B1175" t="str">
        <f>"10673342253423742415"</f>
        <v>10673342253423742415</v>
      </c>
      <c r="C1175" s="4">
        <v>45709</v>
      </c>
      <c r="D1175" t="s">
        <v>99</v>
      </c>
      <c r="E1175" t="s">
        <v>12</v>
      </c>
      <c r="F1175" t="s">
        <v>12</v>
      </c>
    </row>
    <row r="1176" spans="1:6">
      <c r="A1176" t="s">
        <v>661</v>
      </c>
      <c r="B1176" t="str">
        <f>"10673342253423844684"</f>
        <v>10673342253423844684</v>
      </c>
      <c r="C1176" s="4">
        <v>45709</v>
      </c>
      <c r="D1176" t="s">
        <v>99</v>
      </c>
      <c r="E1176" t="s">
        <v>12</v>
      </c>
      <c r="F1176" t="s">
        <v>12</v>
      </c>
    </row>
    <row r="1177" spans="1:6">
      <c r="A1177" t="s">
        <v>847</v>
      </c>
      <c r="B1177" t="str">
        <f>"10673342253424265467"</f>
        <v>10673342253424265467</v>
      </c>
      <c r="C1177" s="4">
        <v>45709</v>
      </c>
      <c r="D1177" t="s">
        <v>99</v>
      </c>
      <c r="E1177" t="s">
        <v>12</v>
      </c>
      <c r="F1177" t="s">
        <v>12</v>
      </c>
    </row>
    <row r="1178" spans="1:6">
      <c r="A1178" t="s">
        <v>620</v>
      </c>
      <c r="B1178" t="str">
        <f>"10673342253424015592"</f>
        <v>10673342253424015592</v>
      </c>
      <c r="C1178" s="4">
        <v>45709</v>
      </c>
      <c r="D1178" t="s">
        <v>99</v>
      </c>
      <c r="E1178" t="s">
        <v>12</v>
      </c>
      <c r="F1178" t="s">
        <v>12</v>
      </c>
    </row>
    <row r="1179" spans="1:6">
      <c r="A1179" t="s">
        <v>624</v>
      </c>
      <c r="B1179" t="str">
        <f>"10673342253423699964"</f>
        <v>10673342253423699964</v>
      </c>
      <c r="C1179" s="4">
        <v>45709</v>
      </c>
      <c r="D1179" t="s">
        <v>99</v>
      </c>
      <c r="E1179" t="s">
        <v>12</v>
      </c>
      <c r="F1179" t="s">
        <v>12</v>
      </c>
    </row>
    <row r="1180" spans="1:6">
      <c r="A1180" t="s">
        <v>637</v>
      </c>
      <c r="B1180" t="str">
        <f>"10673342243462669139"</f>
        <v>10673342243462669139</v>
      </c>
      <c r="C1180" s="4">
        <v>45560</v>
      </c>
      <c r="D1180" t="s">
        <v>99</v>
      </c>
      <c r="E1180" t="s">
        <v>12</v>
      </c>
      <c r="F1180" t="s">
        <v>12</v>
      </c>
    </row>
    <row r="1181" spans="1:6">
      <c r="A1181" t="s">
        <v>641</v>
      </c>
      <c r="B1181" t="str">
        <f>"10673342243462420939"</f>
        <v>10673342243462420939</v>
      </c>
      <c r="C1181" s="4">
        <v>45560</v>
      </c>
      <c r="D1181" t="s">
        <v>99</v>
      </c>
      <c r="E1181" t="s">
        <v>12</v>
      </c>
      <c r="F1181" t="s">
        <v>12</v>
      </c>
    </row>
    <row r="1182" spans="1:6">
      <c r="A1182" t="s">
        <v>644</v>
      </c>
      <c r="B1182" t="str">
        <f>"10673342243463024298"</f>
        <v>10673342243463024298</v>
      </c>
      <c r="C1182" s="4">
        <v>45560</v>
      </c>
      <c r="D1182" t="s">
        <v>99</v>
      </c>
      <c r="E1182" t="s">
        <v>12</v>
      </c>
      <c r="F1182" t="s">
        <v>12</v>
      </c>
    </row>
    <row r="1183" spans="1:6">
      <c r="A1183" t="s">
        <v>646</v>
      </c>
      <c r="B1183" t="str">
        <f>"10673342243462715531"</f>
        <v>10673342243462715531</v>
      </c>
      <c r="C1183" s="4">
        <v>45560</v>
      </c>
      <c r="D1183" t="s">
        <v>99</v>
      </c>
      <c r="E1183" t="s">
        <v>12</v>
      </c>
      <c r="F1183" t="s">
        <v>12</v>
      </c>
    </row>
    <row r="1184" spans="1:6">
      <c r="A1184" t="s">
        <v>1172</v>
      </c>
      <c r="B1184" t="str">
        <f>"10673342243462741182"</f>
        <v>10673342243462741182</v>
      </c>
      <c r="C1184" s="4">
        <v>45560</v>
      </c>
      <c r="D1184" t="s">
        <v>99</v>
      </c>
      <c r="E1184" t="s">
        <v>12</v>
      </c>
      <c r="F1184" t="s">
        <v>12</v>
      </c>
    </row>
    <row r="1185" spans="1:6">
      <c r="A1185" t="s">
        <v>1173</v>
      </c>
      <c r="B1185" t="str">
        <f>"10673342243462878897"</f>
        <v>10673342243462878897</v>
      </c>
      <c r="C1185" s="4">
        <v>45560</v>
      </c>
      <c r="D1185" t="s">
        <v>99</v>
      </c>
      <c r="E1185" t="s">
        <v>12</v>
      </c>
      <c r="F1185" t="s">
        <v>12</v>
      </c>
    </row>
    <row r="1186" spans="1:6">
      <c r="A1186" t="s">
        <v>1554</v>
      </c>
      <c r="B1186" t="str">
        <f>"10673342243477228907"</f>
        <v>10673342243477228907</v>
      </c>
      <c r="C1186" s="4">
        <v>45614</v>
      </c>
      <c r="D1186" t="s">
        <v>99</v>
      </c>
      <c r="E1186" t="s">
        <v>12</v>
      </c>
      <c r="F1186" t="s">
        <v>12</v>
      </c>
    </row>
    <row r="1187" spans="1:6">
      <c r="A1187" t="s">
        <v>1555</v>
      </c>
      <c r="B1187" t="str">
        <f>"10673342243476310286"</f>
        <v>10673342243476310286</v>
      </c>
      <c r="C1187" s="4">
        <v>45614</v>
      </c>
      <c r="D1187" t="s">
        <v>99</v>
      </c>
      <c r="E1187" t="s">
        <v>12</v>
      </c>
      <c r="F1187" t="s">
        <v>12</v>
      </c>
    </row>
    <row r="1188" spans="1:6">
      <c r="A1188" t="s">
        <v>1556</v>
      </c>
      <c r="B1188" t="str">
        <f>"10673342243477131938"</f>
        <v>10673342243477131938</v>
      </c>
      <c r="C1188" s="4">
        <v>45614</v>
      </c>
      <c r="D1188" t="s">
        <v>99</v>
      </c>
      <c r="E1188" t="s">
        <v>12</v>
      </c>
      <c r="F1188" t="s">
        <v>12</v>
      </c>
    </row>
    <row r="1189" spans="1:6">
      <c r="A1189" t="s">
        <v>1557</v>
      </c>
      <c r="B1189" t="str">
        <f>"10673342243477211850"</f>
        <v>10673342243477211850</v>
      </c>
      <c r="C1189" s="4">
        <v>45614</v>
      </c>
      <c r="D1189" t="s">
        <v>99</v>
      </c>
      <c r="E1189" t="s">
        <v>12</v>
      </c>
      <c r="F1189" t="s">
        <v>12</v>
      </c>
    </row>
    <row r="1190" spans="1:6">
      <c r="A1190" t="s">
        <v>1558</v>
      </c>
      <c r="B1190" t="str">
        <f>"10673342243477621412"</f>
        <v>10673342243477621412</v>
      </c>
      <c r="C1190" s="4">
        <v>45617</v>
      </c>
      <c r="D1190" t="s">
        <v>241</v>
      </c>
      <c r="E1190" t="s">
        <v>1559</v>
      </c>
      <c r="F1190" t="s">
        <v>58</v>
      </c>
    </row>
    <row r="1191" spans="1:6">
      <c r="A1191" t="s">
        <v>1560</v>
      </c>
      <c r="B1191" t="str">
        <f>"10673342243478002945"</f>
        <v>10673342243478002945</v>
      </c>
      <c r="C1191" s="4">
        <v>45617</v>
      </c>
      <c r="D1191" t="s">
        <v>241</v>
      </c>
      <c r="E1191" t="s">
        <v>1561</v>
      </c>
      <c r="F1191" t="s">
        <v>58</v>
      </c>
    </row>
    <row r="1192" spans="1:6">
      <c r="A1192" t="s">
        <v>1562</v>
      </c>
      <c r="B1192" t="str">
        <f>"10673342243477892610"</f>
        <v>10673342243477892610</v>
      </c>
      <c r="C1192" s="4">
        <v>45617</v>
      </c>
      <c r="D1192" t="s">
        <v>241</v>
      </c>
      <c r="E1192" t="s">
        <v>1563</v>
      </c>
      <c r="F1192" t="s">
        <v>58</v>
      </c>
    </row>
    <row r="1193" spans="1:6">
      <c r="A1193" t="s">
        <v>1564</v>
      </c>
      <c r="B1193" t="str">
        <f>"10673342243477490792"</f>
        <v>10673342243477490792</v>
      </c>
      <c r="C1193" s="4">
        <v>45621</v>
      </c>
      <c r="D1193" t="s">
        <v>241</v>
      </c>
      <c r="E1193" t="s">
        <v>1565</v>
      </c>
      <c r="F1193" t="s">
        <v>1566</v>
      </c>
    </row>
    <row r="1194" spans="1:6">
      <c r="A1194" t="s">
        <v>1567</v>
      </c>
      <c r="B1194" t="str">
        <f>"10673342243477596833"</f>
        <v>10673342243477596833</v>
      </c>
      <c r="C1194" s="4">
        <v>45621</v>
      </c>
      <c r="D1194" t="s">
        <v>241</v>
      </c>
      <c r="E1194" t="s">
        <v>1568</v>
      </c>
      <c r="F1194" t="s">
        <v>1566</v>
      </c>
    </row>
    <row r="1195" spans="1:6">
      <c r="A1195" t="s">
        <v>1569</v>
      </c>
      <c r="B1195" t="str">
        <f>"10673342243482082192"</f>
        <v>10673342243482082192</v>
      </c>
      <c r="C1195" s="4">
        <v>45625</v>
      </c>
      <c r="D1195" t="s">
        <v>99</v>
      </c>
      <c r="E1195" t="s">
        <v>12</v>
      </c>
      <c r="F1195" t="s">
        <v>12</v>
      </c>
    </row>
    <row r="1196" spans="1:6">
      <c r="A1196" t="s">
        <v>1570</v>
      </c>
      <c r="B1196" t="str">
        <f>"10673342243480831775"</f>
        <v>10673342243480831775</v>
      </c>
      <c r="C1196" s="4">
        <v>45625</v>
      </c>
      <c r="D1196" t="s">
        <v>99</v>
      </c>
      <c r="E1196" t="s">
        <v>12</v>
      </c>
      <c r="F1196" t="s">
        <v>12</v>
      </c>
    </row>
    <row r="1197" spans="1:6">
      <c r="A1197" t="s">
        <v>1571</v>
      </c>
      <c r="B1197" t="str">
        <f>"10673342243485905149"</f>
        <v>10673342243485905149</v>
      </c>
      <c r="C1197" s="4">
        <v>45635</v>
      </c>
      <c r="D1197" t="s">
        <v>241</v>
      </c>
      <c r="E1197" t="s">
        <v>1572</v>
      </c>
      <c r="F1197" t="s">
        <v>1573</v>
      </c>
    </row>
    <row r="1198" spans="1:6">
      <c r="A1198" t="s">
        <v>1574</v>
      </c>
      <c r="B1198" t="str">
        <f>"10673342243489093556"</f>
        <v>10673342243489093556</v>
      </c>
      <c r="C1198" s="4">
        <v>45638</v>
      </c>
      <c r="D1198" t="s">
        <v>99</v>
      </c>
      <c r="E1198" t="s">
        <v>12</v>
      </c>
      <c r="F1198" t="s">
        <v>12</v>
      </c>
    </row>
    <row r="1199" spans="1:6">
      <c r="A1199" t="s">
        <v>1575</v>
      </c>
      <c r="B1199" t="str">
        <f>"10673342243493360326"</f>
        <v>10673342243493360326</v>
      </c>
      <c r="C1199" s="4">
        <v>45645</v>
      </c>
      <c r="D1199" t="s">
        <v>99</v>
      </c>
      <c r="E1199" t="s">
        <v>12</v>
      </c>
      <c r="F1199" t="s">
        <v>12</v>
      </c>
    </row>
    <row r="1200" spans="1:6">
      <c r="A1200" t="s">
        <v>1576</v>
      </c>
      <c r="B1200" t="str">
        <f>"10673342243493304183"</f>
        <v>10673342243493304183</v>
      </c>
      <c r="C1200" s="4">
        <v>45645</v>
      </c>
      <c r="D1200" t="s">
        <v>99</v>
      </c>
      <c r="E1200" t="s">
        <v>12</v>
      </c>
      <c r="F1200" t="s">
        <v>12</v>
      </c>
    </row>
    <row r="1201" spans="1:6">
      <c r="A1201" t="s">
        <v>1577</v>
      </c>
      <c r="B1201" t="str">
        <f>"10673342243493503984"</f>
        <v>10673342243493503984</v>
      </c>
      <c r="C1201" s="4">
        <v>45646</v>
      </c>
      <c r="D1201" t="s">
        <v>99</v>
      </c>
      <c r="E1201" t="s">
        <v>12</v>
      </c>
      <c r="F1201" t="s">
        <v>12</v>
      </c>
    </row>
    <row r="1202" spans="1:6">
      <c r="A1202" t="s">
        <v>1578</v>
      </c>
      <c r="B1202" t="str">
        <f>"10673342243493564193"</f>
        <v>10673342243493564193</v>
      </c>
      <c r="C1202" s="4">
        <v>45646</v>
      </c>
      <c r="D1202" t="s">
        <v>99</v>
      </c>
      <c r="E1202" t="s">
        <v>12</v>
      </c>
      <c r="F1202" t="s">
        <v>12</v>
      </c>
    </row>
    <row r="1203" spans="1:6">
      <c r="A1203" t="s">
        <v>1579</v>
      </c>
      <c r="B1203" t="str">
        <f>"10673342243496209222"</f>
        <v>10673342243496209222</v>
      </c>
      <c r="C1203" s="4">
        <v>45653</v>
      </c>
      <c r="D1203" t="s">
        <v>99</v>
      </c>
      <c r="E1203" t="s">
        <v>12</v>
      </c>
      <c r="F1203" t="s">
        <v>12</v>
      </c>
    </row>
    <row r="1204" spans="1:6">
      <c r="A1204" t="s">
        <v>1580</v>
      </c>
      <c r="B1204" t="str">
        <f>"10673342243495770211"</f>
        <v>10673342243495770211</v>
      </c>
      <c r="C1204" s="4">
        <v>45653</v>
      </c>
      <c r="D1204" t="s">
        <v>99</v>
      </c>
      <c r="E1204" t="s">
        <v>12</v>
      </c>
      <c r="F1204" t="s">
        <v>12</v>
      </c>
    </row>
    <row r="1205" spans="1:6">
      <c r="A1205" t="s">
        <v>1581</v>
      </c>
      <c r="B1205" t="str">
        <f>"10673342243496007279"</f>
        <v>10673342243496007279</v>
      </c>
      <c r="C1205" s="4">
        <v>45653</v>
      </c>
      <c r="D1205" t="s">
        <v>99</v>
      </c>
      <c r="E1205" t="s">
        <v>12</v>
      </c>
      <c r="F1205" t="s">
        <v>12</v>
      </c>
    </row>
    <row r="1206" spans="1:6">
      <c r="A1206" t="s">
        <v>1582</v>
      </c>
      <c r="B1206" t="str">
        <f>"10673342243496375472"</f>
        <v>10673342243496375472</v>
      </c>
      <c r="C1206" s="4">
        <v>45653</v>
      </c>
      <c r="D1206" t="s">
        <v>99</v>
      </c>
      <c r="E1206" t="s">
        <v>12</v>
      </c>
      <c r="F1206" t="s">
        <v>12</v>
      </c>
    </row>
    <row r="1207" spans="1:6">
      <c r="A1207" t="s">
        <v>1583</v>
      </c>
      <c r="B1207" t="str">
        <f>"10673342243497488947"</f>
        <v>10673342243497488947</v>
      </c>
      <c r="C1207" s="4">
        <v>45653</v>
      </c>
      <c r="D1207" t="s">
        <v>99</v>
      </c>
      <c r="E1207" t="s">
        <v>12</v>
      </c>
      <c r="F1207" t="s">
        <v>12</v>
      </c>
    </row>
    <row r="1208" spans="1:6">
      <c r="A1208" t="s">
        <v>1584</v>
      </c>
      <c r="B1208" t="str">
        <f>"10673342243499760520"</f>
        <v>10673342243499760520</v>
      </c>
      <c r="C1208" s="4">
        <v>45671</v>
      </c>
      <c r="D1208" t="s">
        <v>241</v>
      </c>
      <c r="E1208" t="s">
        <v>1585</v>
      </c>
      <c r="F1208" t="s">
        <v>1586</v>
      </c>
    </row>
    <row r="1209" spans="1:6">
      <c r="A1209" t="s">
        <v>1587</v>
      </c>
      <c r="B1209" t="str">
        <f>"10673342253402640591"</f>
        <v>10673342253402640591</v>
      </c>
      <c r="C1209" s="4">
        <v>45673</v>
      </c>
      <c r="D1209" t="s">
        <v>99</v>
      </c>
      <c r="E1209" t="s">
        <v>12</v>
      </c>
      <c r="F1209" t="s">
        <v>12</v>
      </c>
    </row>
    <row r="1210" spans="1:6">
      <c r="A1210" t="s">
        <v>1588</v>
      </c>
      <c r="B1210" t="str">
        <f>"10673342253403703627"</f>
        <v>10673342253403703627</v>
      </c>
      <c r="C1210" s="4">
        <v>45673</v>
      </c>
      <c r="D1210" t="s">
        <v>241</v>
      </c>
      <c r="E1210" t="s">
        <v>1589</v>
      </c>
      <c r="F1210" t="s">
        <v>1590</v>
      </c>
    </row>
    <row r="1211" spans="1:6">
      <c r="A1211" t="s">
        <v>1591</v>
      </c>
      <c r="B1211" t="str">
        <f>"10673342253403554710"</f>
        <v>10673342253403554710</v>
      </c>
      <c r="C1211" s="4">
        <v>45673</v>
      </c>
      <c r="D1211" t="s">
        <v>241</v>
      </c>
      <c r="E1211" t="s">
        <v>1592</v>
      </c>
      <c r="F1211" t="s">
        <v>1590</v>
      </c>
    </row>
    <row r="1212" spans="1:6">
      <c r="A1212" t="s">
        <v>1593</v>
      </c>
      <c r="B1212" t="str">
        <f>"10673342253403632557"</f>
        <v>10673342253403632557</v>
      </c>
      <c r="C1212" s="4">
        <v>45673</v>
      </c>
      <c r="D1212" t="s">
        <v>241</v>
      </c>
      <c r="E1212" t="s">
        <v>1594</v>
      </c>
      <c r="F1212" t="s">
        <v>1590</v>
      </c>
    </row>
    <row r="1213" spans="1:6">
      <c r="A1213" t="s">
        <v>1595</v>
      </c>
      <c r="B1213" t="str">
        <f>"10673342253403753756"</f>
        <v>10673342253403753756</v>
      </c>
      <c r="C1213" s="4">
        <v>45673</v>
      </c>
      <c r="D1213" t="s">
        <v>241</v>
      </c>
      <c r="E1213" t="s">
        <v>1596</v>
      </c>
      <c r="F1213" t="s">
        <v>1590</v>
      </c>
    </row>
    <row r="1214" spans="1:6">
      <c r="A1214" t="s">
        <v>1597</v>
      </c>
      <c r="B1214" t="str">
        <f>"10673342253403839669"</f>
        <v>10673342253403839669</v>
      </c>
      <c r="C1214" s="4">
        <v>45673</v>
      </c>
      <c r="D1214" t="s">
        <v>241</v>
      </c>
      <c r="E1214" t="s">
        <v>1598</v>
      </c>
      <c r="F1214" t="s">
        <v>1590</v>
      </c>
    </row>
    <row r="1215" spans="1:6">
      <c r="A1215" t="s">
        <v>1599</v>
      </c>
      <c r="B1215" t="str">
        <f>"10673342253407626074"</f>
        <v>10673342253407626074</v>
      </c>
      <c r="C1215" s="4">
        <v>45679</v>
      </c>
      <c r="D1215" t="s">
        <v>99</v>
      </c>
      <c r="E1215" t="s">
        <v>12</v>
      </c>
      <c r="F1215" t="s">
        <v>12</v>
      </c>
    </row>
    <row r="1216" spans="1:6">
      <c r="A1216" t="s">
        <v>1600</v>
      </c>
      <c r="B1216" t="str">
        <f>"10673342253407586714"</f>
        <v>10673342253407586714</v>
      </c>
      <c r="C1216" s="4">
        <v>45679</v>
      </c>
      <c r="D1216" t="s">
        <v>99</v>
      </c>
      <c r="E1216" t="s">
        <v>12</v>
      </c>
      <c r="F1216" t="s">
        <v>12</v>
      </c>
    </row>
    <row r="1217" spans="1:6">
      <c r="A1217" t="s">
        <v>1601</v>
      </c>
      <c r="B1217" t="str">
        <f>"10673342253412210670"</f>
        <v>10673342253412210670</v>
      </c>
      <c r="C1217" s="4">
        <v>45692</v>
      </c>
      <c r="D1217" t="s">
        <v>241</v>
      </c>
      <c r="E1217" t="s">
        <v>1602</v>
      </c>
      <c r="F1217" t="s">
        <v>1603</v>
      </c>
    </row>
    <row r="1218" spans="1:6">
      <c r="A1218" t="s">
        <v>1604</v>
      </c>
      <c r="B1218" t="str">
        <f>"10673342253412300009"</f>
        <v>10673342253412300009</v>
      </c>
      <c r="C1218" s="4">
        <v>45692</v>
      </c>
      <c r="D1218" t="s">
        <v>99</v>
      </c>
      <c r="E1218" t="s">
        <v>12</v>
      </c>
      <c r="F1218" t="s">
        <v>12</v>
      </c>
    </row>
    <row r="1219" spans="1:6">
      <c r="A1219" t="s">
        <v>1605</v>
      </c>
      <c r="B1219" t="str">
        <f>"10673342253411505510"</f>
        <v>10673342253411505510</v>
      </c>
      <c r="C1219" s="4">
        <v>45692</v>
      </c>
      <c r="D1219" t="s">
        <v>241</v>
      </c>
      <c r="E1219" t="s">
        <v>1606</v>
      </c>
      <c r="F1219" t="s">
        <v>1603</v>
      </c>
    </row>
    <row r="1220" spans="1:6">
      <c r="A1220" t="s">
        <v>1607</v>
      </c>
      <c r="B1220" t="str">
        <f>"10673342253411702111"</f>
        <v>10673342253411702111</v>
      </c>
      <c r="C1220" s="4">
        <v>45692</v>
      </c>
      <c r="D1220" t="s">
        <v>241</v>
      </c>
      <c r="E1220" t="s">
        <v>1608</v>
      </c>
      <c r="F1220" t="s">
        <v>1603</v>
      </c>
    </row>
    <row r="1221" spans="1:6">
      <c r="A1221" t="s">
        <v>1609</v>
      </c>
      <c r="B1221" t="str">
        <f>"10673342253411518248"</f>
        <v>10673342253411518248</v>
      </c>
      <c r="C1221" s="4">
        <v>45692</v>
      </c>
      <c r="D1221" t="s">
        <v>241</v>
      </c>
      <c r="E1221" t="s">
        <v>1610</v>
      </c>
      <c r="F1221" t="s">
        <v>1603</v>
      </c>
    </row>
    <row r="1222" spans="1:6">
      <c r="A1222" t="s">
        <v>1611</v>
      </c>
      <c r="B1222" t="str">
        <f>"10673342253411581020"</f>
        <v>10673342253411581020</v>
      </c>
      <c r="C1222" s="4">
        <v>45692</v>
      </c>
      <c r="D1222" t="s">
        <v>241</v>
      </c>
      <c r="E1222" t="s">
        <v>1612</v>
      </c>
      <c r="F1222" t="s">
        <v>1603</v>
      </c>
    </row>
    <row r="1223" spans="1:6">
      <c r="A1223" t="s">
        <v>1613</v>
      </c>
      <c r="B1223" t="str">
        <f>"10673342253413375142"</f>
        <v>10673342253413375142</v>
      </c>
      <c r="C1223" s="4">
        <v>45692</v>
      </c>
      <c r="D1223" t="s">
        <v>99</v>
      </c>
      <c r="E1223" t="s">
        <v>12</v>
      </c>
      <c r="F1223" t="s">
        <v>12</v>
      </c>
    </row>
    <row r="1224" spans="1:6">
      <c r="A1224" t="s">
        <v>1614</v>
      </c>
      <c r="B1224" t="str">
        <f>"10673342253413133998"</f>
        <v>10673342253413133998</v>
      </c>
      <c r="C1224" s="4">
        <v>45692</v>
      </c>
      <c r="D1224" t="s">
        <v>99</v>
      </c>
      <c r="E1224" t="s">
        <v>12</v>
      </c>
      <c r="F1224" t="s">
        <v>12</v>
      </c>
    </row>
    <row r="1225" spans="1:6">
      <c r="A1225" t="s">
        <v>1615</v>
      </c>
      <c r="B1225" t="str">
        <f>"10673342253413090393"</f>
        <v>10673342253413090393</v>
      </c>
      <c r="C1225" s="4">
        <v>45692</v>
      </c>
      <c r="D1225" t="s">
        <v>99</v>
      </c>
      <c r="E1225" t="s">
        <v>12</v>
      </c>
      <c r="F1225" t="s">
        <v>12</v>
      </c>
    </row>
    <row r="1226" spans="1:6">
      <c r="A1226" t="s">
        <v>1616</v>
      </c>
      <c r="B1226" t="str">
        <f>"10673342253412860187"</f>
        <v>10673342253412860187</v>
      </c>
      <c r="C1226" s="4">
        <v>45692</v>
      </c>
      <c r="D1226" t="s">
        <v>99</v>
      </c>
      <c r="E1226" t="s">
        <v>12</v>
      </c>
      <c r="F1226" t="s">
        <v>12</v>
      </c>
    </row>
    <row r="1227" spans="1:6">
      <c r="A1227" t="s">
        <v>1617</v>
      </c>
      <c r="B1227" t="str">
        <f>"10673342253412563425"</f>
        <v>10673342253412563425</v>
      </c>
      <c r="C1227" s="4">
        <v>45692</v>
      </c>
      <c r="D1227" t="s">
        <v>99</v>
      </c>
      <c r="E1227" t="s">
        <v>12</v>
      </c>
      <c r="F1227" t="s">
        <v>12</v>
      </c>
    </row>
    <row r="1228" spans="1:6">
      <c r="A1228" t="s">
        <v>1618</v>
      </c>
      <c r="B1228" t="str">
        <f>"10673342253412375122"</f>
        <v>10673342253412375122</v>
      </c>
      <c r="C1228" s="4">
        <v>45692</v>
      </c>
      <c r="D1228" t="s">
        <v>99</v>
      </c>
      <c r="E1228" t="s">
        <v>12</v>
      </c>
      <c r="F1228" t="s">
        <v>12</v>
      </c>
    </row>
    <row r="1229" spans="1:6">
      <c r="A1229" t="s">
        <v>1619</v>
      </c>
      <c r="B1229" t="str">
        <f>"10673342253415056710"</f>
        <v>10673342253415056710</v>
      </c>
      <c r="C1229" s="4">
        <v>45698</v>
      </c>
      <c r="D1229" t="s">
        <v>99</v>
      </c>
      <c r="E1229" t="s">
        <v>12</v>
      </c>
      <c r="F1229" t="s">
        <v>12</v>
      </c>
    </row>
    <row r="1230" spans="1:6">
      <c r="A1230" t="s">
        <v>1620</v>
      </c>
      <c r="B1230" t="str">
        <f>"10673342253415373562"</f>
        <v>10673342253415373562</v>
      </c>
      <c r="C1230" s="4">
        <v>45698</v>
      </c>
      <c r="D1230" t="s">
        <v>99</v>
      </c>
      <c r="E1230" t="s">
        <v>12</v>
      </c>
      <c r="F1230" t="s">
        <v>12</v>
      </c>
    </row>
    <row r="1231" spans="1:6">
      <c r="A1231" t="s">
        <v>1621</v>
      </c>
      <c r="B1231" t="str">
        <f>"10673342253415133014"</f>
        <v>10673342253415133014</v>
      </c>
      <c r="C1231" s="4">
        <v>45698</v>
      </c>
      <c r="D1231" t="s">
        <v>99</v>
      </c>
      <c r="E1231" t="s">
        <v>12</v>
      </c>
      <c r="F1231" t="s">
        <v>12</v>
      </c>
    </row>
    <row r="1232" spans="1:6">
      <c r="A1232" t="s">
        <v>1622</v>
      </c>
      <c r="B1232" t="str">
        <f>"10673342253413981484"</f>
        <v>10673342253413981484</v>
      </c>
      <c r="C1232" s="4">
        <v>45698</v>
      </c>
      <c r="D1232" t="s">
        <v>99</v>
      </c>
      <c r="E1232" t="s">
        <v>12</v>
      </c>
      <c r="F1232" t="s">
        <v>12</v>
      </c>
    </row>
    <row r="1233" spans="1:6">
      <c r="A1233" t="s">
        <v>1623</v>
      </c>
      <c r="B1233" t="str">
        <f>"10673342253414769098"</f>
        <v>10673342253414769098</v>
      </c>
      <c r="C1233" s="4">
        <v>45698</v>
      </c>
      <c r="D1233" t="s">
        <v>99</v>
      </c>
      <c r="E1233" t="s">
        <v>12</v>
      </c>
      <c r="F1233" t="s">
        <v>12</v>
      </c>
    </row>
    <row r="1234" spans="1:6">
      <c r="A1234" t="s">
        <v>1624</v>
      </c>
      <c r="B1234" t="str">
        <f>"10673342253414322594"</f>
        <v>10673342253414322594</v>
      </c>
      <c r="C1234" s="4">
        <v>45698</v>
      </c>
      <c r="D1234" t="s">
        <v>99</v>
      </c>
      <c r="E1234" t="s">
        <v>12</v>
      </c>
      <c r="F1234" t="s">
        <v>12</v>
      </c>
    </row>
    <row r="1235" spans="1:6">
      <c r="A1235" t="s">
        <v>1625</v>
      </c>
      <c r="B1235" t="str">
        <f>"10673342253413752841"</f>
        <v>10673342253413752841</v>
      </c>
      <c r="C1235" s="4">
        <v>45698</v>
      </c>
      <c r="D1235" t="s">
        <v>99</v>
      </c>
      <c r="E1235" t="s">
        <v>12</v>
      </c>
      <c r="F1235" t="s">
        <v>12</v>
      </c>
    </row>
    <row r="1236" spans="1:6">
      <c r="A1236" t="s">
        <v>1626</v>
      </c>
      <c r="B1236" t="str">
        <f>"10673342253413699371"</f>
        <v>10673342253413699371</v>
      </c>
      <c r="C1236" s="4">
        <v>45698</v>
      </c>
      <c r="D1236" t="s">
        <v>99</v>
      </c>
      <c r="E1236" t="s">
        <v>12</v>
      </c>
      <c r="F1236" t="s">
        <v>12</v>
      </c>
    </row>
    <row r="1237" spans="1:6">
      <c r="A1237" t="s">
        <v>1627</v>
      </c>
      <c r="B1237" t="str">
        <f>"10673342253416438978"</f>
        <v>10673342253416438978</v>
      </c>
      <c r="C1237" s="4">
        <v>45699</v>
      </c>
      <c r="D1237" t="s">
        <v>99</v>
      </c>
      <c r="E1237" t="s">
        <v>12</v>
      </c>
      <c r="F1237" t="s">
        <v>12</v>
      </c>
    </row>
    <row r="1238" spans="1:6">
      <c r="A1238" t="s">
        <v>1628</v>
      </c>
      <c r="B1238" t="str">
        <f>"10673342253415998333"</f>
        <v>10673342253415998333</v>
      </c>
      <c r="C1238" s="4">
        <v>45699</v>
      </c>
      <c r="D1238" t="s">
        <v>99</v>
      </c>
      <c r="E1238" t="s">
        <v>12</v>
      </c>
      <c r="F1238" t="s">
        <v>12</v>
      </c>
    </row>
    <row r="1239" spans="1:6">
      <c r="A1239" t="s">
        <v>1629</v>
      </c>
      <c r="B1239" t="str">
        <f>"10673342253416722994"</f>
        <v>10673342253416722994</v>
      </c>
      <c r="C1239" s="4">
        <v>45699</v>
      </c>
      <c r="D1239" t="s">
        <v>241</v>
      </c>
      <c r="E1239" t="s">
        <v>1630</v>
      </c>
      <c r="F1239" t="s">
        <v>1631</v>
      </c>
    </row>
    <row r="1240" spans="1:6">
      <c r="A1240" t="s">
        <v>1632</v>
      </c>
      <c r="B1240" t="str">
        <f>"10673342253416602050"</f>
        <v>10673342253416602050</v>
      </c>
      <c r="C1240" s="4">
        <v>45699</v>
      </c>
      <c r="D1240" t="s">
        <v>99</v>
      </c>
      <c r="E1240" t="s">
        <v>12</v>
      </c>
      <c r="F1240" t="s">
        <v>12</v>
      </c>
    </row>
    <row r="1241" spans="1:6">
      <c r="A1241" t="s">
        <v>1633</v>
      </c>
      <c r="B1241" t="str">
        <f>"10673342253415585519"</f>
        <v>10673342253415585519</v>
      </c>
      <c r="C1241" s="4">
        <v>45699</v>
      </c>
      <c r="D1241" t="s">
        <v>99</v>
      </c>
      <c r="E1241" t="s">
        <v>12</v>
      </c>
      <c r="F1241" t="s">
        <v>12</v>
      </c>
    </row>
    <row r="1242" spans="1:6">
      <c r="A1242" t="s">
        <v>1634</v>
      </c>
      <c r="B1242" t="str">
        <f>"10673342253415841027"</f>
        <v>10673342253415841027</v>
      </c>
      <c r="C1242" s="4">
        <v>45699</v>
      </c>
      <c r="D1242" t="s">
        <v>99</v>
      </c>
      <c r="E1242" t="s">
        <v>12</v>
      </c>
      <c r="F1242" t="s">
        <v>12</v>
      </c>
    </row>
    <row r="1243" spans="1:6">
      <c r="A1243" t="s">
        <v>1635</v>
      </c>
      <c r="B1243" t="str">
        <f>"10673342253417608621"</f>
        <v>10673342253417608621</v>
      </c>
      <c r="C1243" s="4">
        <v>45701</v>
      </c>
      <c r="D1243" t="s">
        <v>241</v>
      </c>
      <c r="E1243" t="s">
        <v>1636</v>
      </c>
      <c r="F1243" t="s">
        <v>1631</v>
      </c>
    </row>
    <row r="1244" spans="1:6">
      <c r="A1244" t="s">
        <v>1637</v>
      </c>
      <c r="B1244" t="str">
        <f>"10673342253417389466"</f>
        <v>10673342253417389466</v>
      </c>
      <c r="C1244" s="4">
        <v>45701</v>
      </c>
      <c r="D1244" t="s">
        <v>241</v>
      </c>
      <c r="E1244" t="s">
        <v>1638</v>
      </c>
      <c r="F1244" t="s">
        <v>1631</v>
      </c>
    </row>
    <row r="1245" spans="1:6">
      <c r="A1245" t="s">
        <v>1639</v>
      </c>
      <c r="B1245" t="str">
        <f>"10673342253417550658"</f>
        <v>10673342253417550658</v>
      </c>
      <c r="C1245" s="4">
        <v>45701</v>
      </c>
      <c r="D1245" t="s">
        <v>241</v>
      </c>
      <c r="E1245" t="s">
        <v>1640</v>
      </c>
      <c r="F1245" t="s">
        <v>1631</v>
      </c>
    </row>
    <row r="1246" spans="1:6">
      <c r="A1246" t="s">
        <v>1641</v>
      </c>
      <c r="B1246" t="str">
        <f>"10673342253417172769"</f>
        <v>10673342253417172769</v>
      </c>
      <c r="C1246" s="4">
        <v>45701</v>
      </c>
      <c r="D1246" t="s">
        <v>241</v>
      </c>
      <c r="E1246" t="s">
        <v>1642</v>
      </c>
      <c r="F1246" t="s">
        <v>1631</v>
      </c>
    </row>
    <row r="1247" spans="1:6">
      <c r="A1247" t="s">
        <v>1643</v>
      </c>
      <c r="B1247" t="str">
        <f>"10673342253408178393"</f>
        <v>10673342253408178393</v>
      </c>
      <c r="C1247" s="4">
        <v>45686</v>
      </c>
      <c r="D1247" t="s">
        <v>99</v>
      </c>
      <c r="E1247" t="s">
        <v>12</v>
      </c>
      <c r="F1247" t="s">
        <v>12</v>
      </c>
    </row>
    <row r="1248" spans="1:6">
      <c r="A1248" t="s">
        <v>1577</v>
      </c>
      <c r="B1248" t="str">
        <f>"10673342243493503984"</f>
        <v>10673342243493503984</v>
      </c>
      <c r="C1248" s="4">
        <v>45646</v>
      </c>
      <c r="D1248" t="s">
        <v>99</v>
      </c>
      <c r="E1248" t="s">
        <v>12</v>
      </c>
      <c r="F1248" t="s">
        <v>12</v>
      </c>
    </row>
    <row r="1249" spans="1:6">
      <c r="A1249" t="s">
        <v>1578</v>
      </c>
      <c r="B1249" t="str">
        <f>"10673342243493564193"</f>
        <v>10673342243493564193</v>
      </c>
      <c r="C1249" s="4">
        <v>45646</v>
      </c>
      <c r="D1249" t="s">
        <v>99</v>
      </c>
      <c r="E1249" t="s">
        <v>12</v>
      </c>
      <c r="F1249" t="s">
        <v>12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Otchet_Acts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Logik</dc:creator>
  <cp:lastModifiedBy>Logik</cp:lastModifiedBy>
  <dcterms:modified xsi:type="dcterms:W3CDTF">2026-02-15T19:27:52Z</dcterms:modified>
</cp:coreProperties>
</file>