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Otchet_Cheki" sheetId="1" r:id="rId1"/>
  </sheets>
  <definedNames>
    <definedName name="_xlnm._FilterDatabase" localSheetId="0" hidden="1">Otchet_Cheki!$A$1:$F$766</definedName>
  </definedNames>
  <calcPr calcId="0"/>
</workbook>
</file>

<file path=xl/calcChain.xml><?xml version="1.0" encoding="utf-8"?>
<calcChain xmlns="http://schemas.openxmlformats.org/spreadsheetml/2006/main">
  <c r="B2" i="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</calcChain>
</file>

<file path=xl/sharedStrings.xml><?xml version="1.0" encoding="utf-8"?>
<sst xmlns="http://schemas.openxmlformats.org/spreadsheetml/2006/main" count="3287" uniqueCount="582">
  <si>
    <t>Исходный файл</t>
  </si>
  <si>
    <t>УИН</t>
  </si>
  <si>
    <t>Дата из чека</t>
  </si>
  <si>
    <t>Статус</t>
  </si>
  <si>
    <t>Новое имя</t>
  </si>
  <si>
    <t>Финальная папка</t>
  </si>
  <si>
    <t>Operation_Check_PJSC_Sberbank_04022026 (1).pdf</t>
  </si>
  <si>
    <t>29 марта 2024 15:54:10</t>
  </si>
  <si>
    <t>NO ANCHOR</t>
  </si>
  <si>
    <t>Operation_Check_PJSC_Sberbank_04022026 (10).pdf</t>
  </si>
  <si>
    <t>29 марта 2024 15:46:53</t>
  </si>
  <si>
    <t>Operation_Check_PJSC_Sberbank_04022026 (100).pdf</t>
  </si>
  <si>
    <t>02 февраля 2024 15:55:24</t>
  </si>
  <si>
    <t>Operation_Check_PJSC_Sberbank_04022026 (11).pdf</t>
  </si>
  <si>
    <t>29 марта 2024 15:43:12</t>
  </si>
  <si>
    <t>Operation_Check_PJSC_Sberbank_04022026 (19).pdf</t>
  </si>
  <si>
    <t>22 марта 2024 16:11:19</t>
  </si>
  <si>
    <t>Operation_Check_PJSC_Sberbank_04022026 (20).pdf</t>
  </si>
  <si>
    <t>22 марта 2024 16:05:25</t>
  </si>
  <si>
    <t>Operation_Check_PJSC_Sberbank_04022026 (21).pdf</t>
  </si>
  <si>
    <t>22 марта 2024 16:03:18</t>
  </si>
  <si>
    <t>Operation_Check_PJSC_Sberbank_04022026 (22).pdf</t>
  </si>
  <si>
    <t>22 марта 2024 16:01:54</t>
  </si>
  <si>
    <t>Operation_Check_PJSC_Sberbank_04022026 (23).pdf</t>
  </si>
  <si>
    <t>22 марта 2024 16:00:45</t>
  </si>
  <si>
    <t>Operation_Check_PJSC_Sberbank_04022026 (24).pdf</t>
  </si>
  <si>
    <t>22 марта 2024 15:54:06</t>
  </si>
  <si>
    <t>Operation_Check_PJSC_Sberbank_04022026 (25).pdf</t>
  </si>
  <si>
    <t>22 марта 2024 15:51:17</t>
  </si>
  <si>
    <t>Operation_Check_PJSC_Sberbank_04022026 (26).pdf</t>
  </si>
  <si>
    <t>22 марта 2024 15:50:02</t>
  </si>
  <si>
    <t>Operation_Check_PJSC_Sberbank_04022026 (27).pdf</t>
  </si>
  <si>
    <t>Operation_Check_PJSC_Sberbank_04022026 (28).pdf</t>
  </si>
  <si>
    <t>Operation_Check_PJSC_Sberbank_04022026 (29).pdf</t>
  </si>
  <si>
    <t>Operation_Check_PJSC_Sberbank_04022026 (3).pdf</t>
  </si>
  <si>
    <t>29 марта 2024 15:51:25</t>
  </si>
  <si>
    <t>Operation_Check_PJSC_Sberbank_04022026 (30).pdf</t>
  </si>
  <si>
    <t>Operation_Check_PJSC_Sberbank_04022026 (31).pdf</t>
  </si>
  <si>
    <t>Operation_Check_PJSC_Sberbank_04022026 (32).pdf</t>
  </si>
  <si>
    <t>Operation_Check_PJSC_Sberbank_04022026 (33).pdf</t>
  </si>
  <si>
    <t>Operation_Check_PJSC_Sberbank_04022026 (34).pdf</t>
  </si>
  <si>
    <t>Operation_Check_PJSC_Sberbank_04022026 (35).pdf</t>
  </si>
  <si>
    <t>Operation_Check_PJSC_Sberbank_04022026 (36).pdf</t>
  </si>
  <si>
    <t>Operation_Check_PJSC_Sberbank_04022026 (37).pdf</t>
  </si>
  <si>
    <t>15 марта 2024 16:07:47</t>
  </si>
  <si>
    <t>Operation_Check_PJSC_Sberbank_04022026 (38).pdf</t>
  </si>
  <si>
    <t>15 марта 2024 16:03:53</t>
  </si>
  <si>
    <t>Operation_Check_PJSC_Sberbank_04022026 (39).pdf</t>
  </si>
  <si>
    <t>15 марта 2024 15:56:05</t>
  </si>
  <si>
    <t>Operation_Check_PJSC_Sberbank_04022026 (4).pdf</t>
  </si>
  <si>
    <t>Operation_Check_PJSC_Sberbank_04022026 (40).pdf</t>
  </si>
  <si>
    <t>15 марта 2024 15:55:14</t>
  </si>
  <si>
    <t>Operation_Check_PJSC_Sberbank_04022026 (41).pdf</t>
  </si>
  <si>
    <t>07 марта 2024 15:30:22</t>
  </si>
  <si>
    <t>Operation_Check_PJSC_Sberbank_04022026 (42).pdf</t>
  </si>
  <si>
    <t>07 марта 2024 15:29:21</t>
  </si>
  <si>
    <t>Operation_Check_PJSC_Sberbank_04022026 (43).pdf</t>
  </si>
  <si>
    <t>07 марта 2024 15:27:50</t>
  </si>
  <si>
    <t>Operation_Check_PJSC_Sberbank_04022026 (44).pdf</t>
  </si>
  <si>
    <t>07 марта 2024 15:26:46</t>
  </si>
  <si>
    <t>Operation_Check_PJSC_Sberbank_04022026 (45).pdf</t>
  </si>
  <si>
    <t>Operation_Check_PJSC_Sberbank_04022026 (46).pdf</t>
  </si>
  <si>
    <t>07 марта 2024 15:25:50</t>
  </si>
  <si>
    <t>Operation_Check_PJSC_Sberbank_04022026 (47).pdf</t>
  </si>
  <si>
    <t>07 марта 2024 15:23:03</t>
  </si>
  <si>
    <t>Operation_Check_PJSC_Sberbank_04022026 (48).pdf</t>
  </si>
  <si>
    <t>07 марта 2024 15:22:04</t>
  </si>
  <si>
    <t>Operation_Check_PJSC_Sberbank_04022026 (49).pdf</t>
  </si>
  <si>
    <t>07 марта 2024 15:16:24</t>
  </si>
  <si>
    <t>Operation_Check_PJSC_Sberbank_04022026 (5).pdf</t>
  </si>
  <si>
    <t>29 марта 2024 15:50:13</t>
  </si>
  <si>
    <t>Operation_Check_PJSC_Sberbank_04022026 (50).pdf</t>
  </si>
  <si>
    <t>01 марта 2024 15:24:43</t>
  </si>
  <si>
    <t>Operation_Check_PJSC_Sberbank_04022026 (51).pdf</t>
  </si>
  <si>
    <t>01 марта 2024 15:23:40</t>
  </si>
  <si>
    <t>Operation_Check_PJSC_Sberbank_04022026 (52).pdf</t>
  </si>
  <si>
    <t>01 марта 2024 15:22:44</t>
  </si>
  <si>
    <t>Operation_Check_PJSC_Sberbank_04022026 (53).pdf</t>
  </si>
  <si>
    <t>01 марта 2024 15:21:47</t>
  </si>
  <si>
    <t>Operation_Check_PJSC_Sberbank_04022026 (54).pdf</t>
  </si>
  <si>
    <t>01 марта 2024 15:20:52</t>
  </si>
  <si>
    <t>Operation_Check_PJSC_Sberbank_04022026 (55).pdf</t>
  </si>
  <si>
    <t>01 марта 2024 15:19:50</t>
  </si>
  <si>
    <t>Operation_Check_PJSC_Sberbank_04022026 (56).pdf</t>
  </si>
  <si>
    <t>01 марта 2024 15:18:51</t>
  </si>
  <si>
    <t>Operation_Check_PJSC_Sberbank_04022026 (57).pdf</t>
  </si>
  <si>
    <t>01 марта 2024 15:17:52</t>
  </si>
  <si>
    <t>Operation_Check_PJSC_Sberbank_04022026 (58).pdf</t>
  </si>
  <si>
    <t>01 марта 2024 15:16:42</t>
  </si>
  <si>
    <t>Operation_Check_PJSC_Sberbank_04022026 (59).pdf</t>
  </si>
  <si>
    <t>22 февраля 2024 15:43:39</t>
  </si>
  <si>
    <t>Operation_Check_PJSC_Sberbank_04022026 (6).pdf</t>
  </si>
  <si>
    <t>29 марта 2024 15:49:07</t>
  </si>
  <si>
    <t>Operation_Check_PJSC_Sberbank_04022026 (60).pdf</t>
  </si>
  <si>
    <t>22 февраля 2024 15:42:30</t>
  </si>
  <si>
    <t>Operation_Check_PJSC_Sberbank_04022026 (61).pdf</t>
  </si>
  <si>
    <t>22 февраля 2024 15:41:24</t>
  </si>
  <si>
    <t>Operation_Check_PJSC_Sberbank_04022026 (62).pdf</t>
  </si>
  <si>
    <t>22 февраля 2024 15:39:10</t>
  </si>
  <si>
    <t>Operation_Check_PJSC_Sberbank_04022026 (63).pdf</t>
  </si>
  <si>
    <t>22 февраля 2024 15:37:58</t>
  </si>
  <si>
    <t>Operation_Check_PJSC_Sberbank_04022026 (64).pdf</t>
  </si>
  <si>
    <t>Operation_Check_PJSC_Sberbank_04022026 (65).pdf</t>
  </si>
  <si>
    <t>22 февраля 2024 15:35:26</t>
  </si>
  <si>
    <t>Operation_Check_PJSC_Sberbank_04022026 (66).pdf</t>
  </si>
  <si>
    <t>22 февраля 2024 15:34:29</t>
  </si>
  <si>
    <t>Operation_Check_PJSC_Sberbank_04022026 (67).pdf</t>
  </si>
  <si>
    <t>22 февраля 2024 15:31:23</t>
  </si>
  <si>
    <t>Operation_Check_PJSC_Sberbank_04022026 (68).pdf</t>
  </si>
  <si>
    <t>22 февраля 2024 15:30:20</t>
  </si>
  <si>
    <t>Operation_Check_PJSC_Sberbank_04022026 (69).pdf</t>
  </si>
  <si>
    <t>22 февраля 2024 15:29:22</t>
  </si>
  <si>
    <t>Operation_Check_PJSC_Sberbank_04022026 (7).pdf</t>
  </si>
  <si>
    <t>29 марта 2024 15:47:57</t>
  </si>
  <si>
    <t>Operation_Check_PJSC_Sberbank_04022026 (70).pdf</t>
  </si>
  <si>
    <t>16 февраля 2024 15:24:48</t>
  </si>
  <si>
    <t>Operation_Check_PJSC_Sberbank_04022026 (71).pdf</t>
  </si>
  <si>
    <t>16 февраля 2024 15:19:29</t>
  </si>
  <si>
    <t>Operation_Check_PJSC_Sberbank_04022026 (72).pdf</t>
  </si>
  <si>
    <t>16 февраля 2024 15:18:34</t>
  </si>
  <si>
    <t>Operation_Check_PJSC_Sberbank_04022026 (73).pdf</t>
  </si>
  <si>
    <t>16 февраля 2024 15:16:40</t>
  </si>
  <si>
    <t>Operation_Check_PJSC_Sberbank_04022026 (74).pdf</t>
  </si>
  <si>
    <t>16 февраля 2024 15:13:07</t>
  </si>
  <si>
    <t>Operation_Check_PJSC_Sberbank_04022026 (75).pdf</t>
  </si>
  <si>
    <t>09 февраля 2024 15:51:58</t>
  </si>
  <si>
    <t>Operation_Check_PJSC_Sberbank_04022026 (76).pdf</t>
  </si>
  <si>
    <t>09 февраля 2024 15:51:01</t>
  </si>
  <si>
    <t>Operation_Check_PJSC_Sberbank_04022026 (77).pdf</t>
  </si>
  <si>
    <t>09 февраля 2024 15:50:04</t>
  </si>
  <si>
    <t>Operation_Check_PJSC_Sberbank_04022026 (78).pdf</t>
  </si>
  <si>
    <t>09 февраля 2024 15:48:10</t>
  </si>
  <si>
    <t>Operation_Check_PJSC_Sberbank_04022026 (79).pdf</t>
  </si>
  <si>
    <t>09 февраля 2024 15:47:14</t>
  </si>
  <si>
    <t>Operation_Check_PJSC_Sberbank_04022026 (8).pdf</t>
  </si>
  <si>
    <t>Operation_Check_PJSC_Sberbank_04022026 (80).pdf</t>
  </si>
  <si>
    <t>09 февраля 2024 15:46:17</t>
  </si>
  <si>
    <t>Operation_Check_PJSC_Sberbank_04022026 (81).pdf</t>
  </si>
  <si>
    <t>09 февраля 2024 15:45:19</t>
  </si>
  <si>
    <t>Operation_Check_PJSC_Sberbank_04022026 (82).pdf</t>
  </si>
  <si>
    <t>09 февраля 2024 15:44:16</t>
  </si>
  <si>
    <t>Operation_Check_PJSC_Sberbank_04022026 (83).pdf</t>
  </si>
  <si>
    <t>09 февраля 2024 15:43:20</t>
  </si>
  <si>
    <t>Operation_Check_PJSC_Sberbank_04022026 (84).pdf</t>
  </si>
  <si>
    <t>09 февраля 2024 15:42:18</t>
  </si>
  <si>
    <t>Operation_Check_PJSC_Sberbank_04022026 (85).pdf</t>
  </si>
  <si>
    <t>09 февраля 2024 15:38:22</t>
  </si>
  <si>
    <t>Operation_Check_PJSC_Sberbank_04022026 (86).pdf</t>
  </si>
  <si>
    <t>09 февраля 2024 15:33:02</t>
  </si>
  <si>
    <t>Operation_Check_PJSC_Sberbank_04022026 (87).pdf</t>
  </si>
  <si>
    <t>09 февраля 2024 15:31:09</t>
  </si>
  <si>
    <t>Operation_Check_PJSC_Sberbank_04022026 (88).pdf</t>
  </si>
  <si>
    <t>09 февраля 2024 15:30:00</t>
  </si>
  <si>
    <t>Operation_Check_PJSC_Sberbank_04022026 (89).pdf</t>
  </si>
  <si>
    <t>09 февраля 2024 15:28:57</t>
  </si>
  <si>
    <t>Operation_Check_PJSC_Sberbank_04022026 (9).pdf</t>
  </si>
  <si>
    <t>Operation_Check_PJSC_Sberbank_04022026 (90).pdf</t>
  </si>
  <si>
    <t>09 февраля 2024 15:28:04</t>
  </si>
  <si>
    <t>Operation_Check_PJSC_Sberbank_04022026 (91).pdf</t>
  </si>
  <si>
    <t>09 февраля 2024 15:27:07</t>
  </si>
  <si>
    <t>Operation_Check_PJSC_Sberbank_04022026 (92).pdf</t>
  </si>
  <si>
    <t>09 февраля 2024 15:26:11</t>
  </si>
  <si>
    <t>Operation_Check_PJSC_Sberbank_04022026 (93).pdf</t>
  </si>
  <si>
    <t>09 февраля 2024 15:25:15</t>
  </si>
  <si>
    <t>Operation_Check_PJSC_Sberbank_04022026 (94).pdf</t>
  </si>
  <si>
    <t>09 февраля 2024 15:24:20</t>
  </si>
  <si>
    <t>Operation_Check_PJSC_Sberbank_04022026 (95).pdf</t>
  </si>
  <si>
    <t>02 февраля 2024 16:07:32</t>
  </si>
  <si>
    <t>Operation_Check_PJSC_Sberbank_04022026 (96).pdf</t>
  </si>
  <si>
    <t>02 февраля 2024 16:06:31</t>
  </si>
  <si>
    <t>Operation_Check_PJSC_Sberbank_04022026 (97).pdf</t>
  </si>
  <si>
    <t>02 февраля 2024 16:05:31</t>
  </si>
  <si>
    <t>Operation_Check_PJSC_Sberbank_04022026 (98).pdf</t>
  </si>
  <si>
    <t>02 февраля 2024 16:04:33</t>
  </si>
  <si>
    <t>Operation_Check_PJSC_Sberbank_04022026 (99).pdf</t>
  </si>
  <si>
    <t>02 февраля 2024 15:56:30</t>
  </si>
  <si>
    <t>Operation_Check_PJSC_Sberbank_04022026 - 2026-02-04T135746.822.pdf</t>
  </si>
  <si>
    <t>02 февраля 2024 15:54:27</t>
  </si>
  <si>
    <t>Operation_Check_PJSC_Sberbank_04022026 - 2026-02-04T135847.763.pdf</t>
  </si>
  <si>
    <t>Operation_Check_PJSC_Sberbank_04022026 - 2026-02-04T135855.481.pdf</t>
  </si>
  <si>
    <t>02 февраля 2024 15:53:25</t>
  </si>
  <si>
    <t>Operation_Check_PJSC_Sberbank_04022026 - 2026-02-04T135902.842.pdf</t>
  </si>
  <si>
    <t>02 февраля 2024 15:52:28</t>
  </si>
  <si>
    <t>Operation_Check_PJSC_Sberbank_04022026 - 2026-02-04T135941.959.pdf</t>
  </si>
  <si>
    <t>02 февраля 2024 15:30:35</t>
  </si>
  <si>
    <t>Operation_Check_PJSC_Sberbank_04022026 - 2026-02-04T140726.903.pdf</t>
  </si>
  <si>
    <t>26 января 2024 15:08:33</t>
  </si>
  <si>
    <t>Operation_Check_PJSC_Sberbank_04022026 - 2026-02-04T140733.899.pdf</t>
  </si>
  <si>
    <t>26 января 2024 15:07:30</t>
  </si>
  <si>
    <t>Operation_Check_PJSC_Sberbank_04022026 - 2026-02-04T140742.246.pdf</t>
  </si>
  <si>
    <t>26 января 2024 15:06:22</t>
  </si>
  <si>
    <t>Operation_Check_PJSC_Sberbank_04022026 - 2026-02-04T140751.605.pdf</t>
  </si>
  <si>
    <t>26 января 2024 15:05:29</t>
  </si>
  <si>
    <t>Operation_Check_PJSC_Sberbank_04022026 - 2026-02-04T140802.100.pdf</t>
  </si>
  <si>
    <t>26 января 2024 15:04:34</t>
  </si>
  <si>
    <t>Operation_Check_PJSC_Sberbank_04022026 - 2026-02-04T140814.432.pdf</t>
  </si>
  <si>
    <t>26 января 2024 15:03:36</t>
  </si>
  <si>
    <t>Operation_Check_PJSC_Sberbank_04022026 - 2026-02-04T140820.810.pdf</t>
  </si>
  <si>
    <t>26 января 2024 15:02:35</t>
  </si>
  <si>
    <t>Operation_Check_PJSC_Sberbank_04022026 - 2026-02-04T140827.252.pdf</t>
  </si>
  <si>
    <t>26 января 2024 15:01:40</t>
  </si>
  <si>
    <t>Operation_Check_PJSC_Sberbank_04022026 - 2026-02-04T140834.735.pdf</t>
  </si>
  <si>
    <t>26 января 2024 15:00:36</t>
  </si>
  <si>
    <t>Operation_Check_PJSC_Sberbank_04022026 - 2026-02-04T140841.523.pdf</t>
  </si>
  <si>
    <t>26 января 2024 14:59:31</t>
  </si>
  <si>
    <t>Operation_Check_PJSC_Sberbank_04022026 - 2026-02-04T140939.310.pdf</t>
  </si>
  <si>
    <t>26 января 2024 14:43:46</t>
  </si>
  <si>
    <t>Operation_Check_PJSC_Sberbank_04022026 - 2026-02-04T141022.062.pdf</t>
  </si>
  <si>
    <t>19 января 2024 15:41:57</t>
  </si>
  <si>
    <t>Operation_Check_PJSC_Sberbank_04022026 - 2026-02-04T141029.910.pdf</t>
  </si>
  <si>
    <t>19 января 2024 15:40:56</t>
  </si>
  <si>
    <t>Operation_Check_PJSC_Sberbank_04022026 - 2026-02-04T141038.080.pdf</t>
  </si>
  <si>
    <t>19 января 2024 15:40:01</t>
  </si>
  <si>
    <t>Operation_Check_PJSC_Sberbank_04022026 - 2026-02-04T141046.504.pdf</t>
  </si>
  <si>
    <t>19 января 2024 15:39:00</t>
  </si>
  <si>
    <t>Operation_Check_PJSC_Sberbank_04022026 - 2026-02-04T141058.782.pdf</t>
  </si>
  <si>
    <t>19 января 2024 15:37:59</t>
  </si>
  <si>
    <t>Operation_Check_PJSC_Sberbank_04022026 - 2026-02-04T141106.048.pdf</t>
  </si>
  <si>
    <t>19 января 2024 15:37:04</t>
  </si>
  <si>
    <t>Operation_Check_PJSC_Sberbank_04022026 - 2026-02-04T141119.086.pdf</t>
  </si>
  <si>
    <t>19 января 2024 15:26:34</t>
  </si>
  <si>
    <t>Operation_Check_PJSC_Sberbank_04022026 - 2026-02-04T141125.794.pdf</t>
  </si>
  <si>
    <t>19 января 2024 15:25:32</t>
  </si>
  <si>
    <t>Operation_Check_PJSC_Sberbank_04022026 - 2026-02-04T141152.135.pdf</t>
  </si>
  <si>
    <t>19 января 2024 15:24:38</t>
  </si>
  <si>
    <t>Operation_Check_PJSC_Sberbank_04022026 - 2026-02-04T141158.135.pdf</t>
  </si>
  <si>
    <t>Operation_Check_PJSC_Sberbank_04022026 - 2026-02-04T141206.204.pdf</t>
  </si>
  <si>
    <t>19 января 2024 15:23:45</t>
  </si>
  <si>
    <t>Operation_Check_PJSC_Sberbank_04022026 - 2026-02-04T141216.757.pdf</t>
  </si>
  <si>
    <t>19 января 2024 15:22:52</t>
  </si>
  <si>
    <t>Operation_Check_PJSC_Sberbank_04022026 - 2026-02-04T141223.877.pdf</t>
  </si>
  <si>
    <t>19 января 2024 15:21:59</t>
  </si>
  <si>
    <t>Operation_Check_PJSC_Sberbank_04022026 - 2026-02-04T141230.617.pdf</t>
  </si>
  <si>
    <t>19 января 2024 15:21:04</t>
  </si>
  <si>
    <t>Operation_Check_PJSC_Sberbank_04022026 - 2026-02-04T141321.496.pdf</t>
  </si>
  <si>
    <t>12 января 2024 17:14:03</t>
  </si>
  <si>
    <t>Operation_Check_PJSC_Sberbank_04022026 - 2026-02-04T141457.332.pdf</t>
  </si>
  <si>
    <t>12 января 2024 17:13:00</t>
  </si>
  <si>
    <t>Operation_Check_PJSC_Sberbank_04022026 - 2026-02-04T141504.620.pdf</t>
  </si>
  <si>
    <t>12 января 2024 17:11:55</t>
  </si>
  <si>
    <t>Operation_Check_PJSC_Sberbank_04022026 - 2026-02-04T141511.556.pdf</t>
  </si>
  <si>
    <t>12 января 2024 17:10:57</t>
  </si>
  <si>
    <t>Operation_Check_PJSC_Sberbank_04022026 - 2026-02-04T141518.054.pdf</t>
  </si>
  <si>
    <t>12 января 2024 17:09:54</t>
  </si>
  <si>
    <t>Operation_Check_PJSC_Sberbank_04022026 - 2026-02-04T141525.561.pdf</t>
  </si>
  <si>
    <t>Operation_Check_PJSC_Sberbank_04022026.pdf</t>
  </si>
  <si>
    <t>29 марта 2024 15:55:19</t>
  </si>
  <si>
    <t>31 мая 2024 15:28:44</t>
  </si>
  <si>
    <t>Operation_Check_PJSC_Sberbank_04022026 (15).pdf</t>
  </si>
  <si>
    <t>24 мая 2024 15:11:07</t>
  </si>
  <si>
    <t>Operation_Check_PJSC_Sberbank_04022026 (16).pdf</t>
  </si>
  <si>
    <t>24 мая 2024 15:10:13</t>
  </si>
  <si>
    <t>Operation_Check_PJSC_Sberbank_04022026 (18).pdf</t>
  </si>
  <si>
    <t>24 мая 2024 15:08:23</t>
  </si>
  <si>
    <t>24 мая 2024 15:07:27</t>
  </si>
  <si>
    <t>Operation_Check_PJSC_Sberbank_04022026 (2).pdf</t>
  </si>
  <si>
    <t>31 мая 2024 15:27:54</t>
  </si>
  <si>
    <t>17 мая 2024 15:36:21</t>
  </si>
  <si>
    <t>17 мая 2024 15:35:21</t>
  </si>
  <si>
    <t>17 мая 2024 15:21:39</t>
  </si>
  <si>
    <t>17 мая 2024 15:20:33</t>
  </si>
  <si>
    <t>17 мая 2024 15:19:30</t>
  </si>
  <si>
    <t>31 мая 2024 15:26:53</t>
  </si>
  <si>
    <t>17 мая 2024 15:10:59</t>
  </si>
  <si>
    <t>17 мая 2024 15:04:49</t>
  </si>
  <si>
    <t>17 мая 2024 15:03:50</t>
  </si>
  <si>
    <t>17 мая 2024 15:02:51</t>
  </si>
  <si>
    <t>17 мая 2024 14:44:23</t>
  </si>
  <si>
    <t>17 мая 2024 14:43:21</t>
  </si>
  <si>
    <t>17 мая 2024 14:34:37</t>
  </si>
  <si>
    <t>31 мая 2024 15:22:09</t>
  </si>
  <si>
    <t>27 апреля 2024 13:57:35</t>
  </si>
  <si>
    <t>27 апреля 2024 13:56:41</t>
  </si>
  <si>
    <t>27 апреля 2024 13:55:46</t>
  </si>
  <si>
    <t>27 апреля 2024 13:49:17</t>
  </si>
  <si>
    <t>27 апреля 2024 13:45:41</t>
  </si>
  <si>
    <t>27 апреля 2024 13:44:48</t>
  </si>
  <si>
    <t>27 апреля 2024 13:43:56</t>
  </si>
  <si>
    <t>27 апреля 2024 13:43:01</t>
  </si>
  <si>
    <t>31 мая 2024 15:21:17</t>
  </si>
  <si>
    <t>27 апреля 2024 13:34:34</t>
  </si>
  <si>
    <t>27 апреля 2024 13:33:39</t>
  </si>
  <si>
    <t>27 апреля 2024 13:32:44</t>
  </si>
  <si>
    <t>19 апреля 2024 15:34:33</t>
  </si>
  <si>
    <t>19 апреля 2024 15:33:09</t>
  </si>
  <si>
    <t>19 апреля 2024 15:06:03</t>
  </si>
  <si>
    <t>31 мая 2024 15:16:36</t>
  </si>
  <si>
    <t>19 апреля 2024 14:59:43</t>
  </si>
  <si>
    <t>19 апреля 2024 14:58:50</t>
  </si>
  <si>
    <t>12 апреля 2024 15:06:29</t>
  </si>
  <si>
    <t>05 апреля 2024 15:52:23</t>
  </si>
  <si>
    <t>05 апреля 2024 15:49:18</t>
  </si>
  <si>
    <t>05 апреля 2024 15:44:37</t>
  </si>
  <si>
    <t>05 апреля 2024 15:38:25</t>
  </si>
  <si>
    <t>05 апреля 2024 15:31:50</t>
  </si>
  <si>
    <t>05 апреля 2024 15:30:54</t>
  </si>
  <si>
    <t>31 мая 2024 15:29:49</t>
  </si>
  <si>
    <t>01 июля 2024 17:03:10</t>
  </si>
  <si>
    <t>Operation_Check_PJSC_Sberbank_04022026 (12).pdf</t>
  </si>
  <si>
    <t>21 июня 2024 15:44:53</t>
  </si>
  <si>
    <t>Operation_Check_PJSC_Sberbank_04022026 (13).pdf</t>
  </si>
  <si>
    <t>21 июня 2024 15:44:02</t>
  </si>
  <si>
    <t>Operation_Check_PJSC_Sberbank_04022026 (14).pdf</t>
  </si>
  <si>
    <t>21 июня 2024 15:43:06</t>
  </si>
  <si>
    <t>21 июня 2024 15:40:02</t>
  </si>
  <si>
    <t>Operation_Check_PJSC_Sberbank_04022026 (17).pdf</t>
  </si>
  <si>
    <t>21 июня 2024 15:38:46</t>
  </si>
  <si>
    <t>21 июня 2024 15:32:52</t>
  </si>
  <si>
    <t>01 июля 2024 17:01:22</t>
  </si>
  <si>
    <t>21 июня 2024 15:30:45</t>
  </si>
  <si>
    <t>21 июня 2024 15:29:42</t>
  </si>
  <si>
    <t>21 июня 2024 15:24:50</t>
  </si>
  <si>
    <t>01 июля 2024 17:00:08</t>
  </si>
  <si>
    <t>21 июня 2024 14:59:18</t>
  </si>
  <si>
    <t>21 июня 2024 14:58:20</t>
  </si>
  <si>
    <t>21 июня 2024 14:57:22</t>
  </si>
  <si>
    <t>21 июня 2024 14:53:04</t>
  </si>
  <si>
    <t>21 июня 2024 14:51:55</t>
  </si>
  <si>
    <t>21 июня 2024 14:50:55</t>
  </si>
  <si>
    <t>21 июня 2024 14:48:36</t>
  </si>
  <si>
    <t>21 июня 2024 14:47:35</t>
  </si>
  <si>
    <t>21 июня 2024 14:46:35</t>
  </si>
  <si>
    <t>01 июля 2024 16:58:37</t>
  </si>
  <si>
    <t>14 июня 2024 15:50:33</t>
  </si>
  <si>
    <t>14 июня 2024 15:44:26</t>
  </si>
  <si>
    <t>14 июня 2024 15:43:25</t>
  </si>
  <si>
    <t>14 июня 2024 15:33:25</t>
  </si>
  <si>
    <t>14 июня 2024 15:32:28</t>
  </si>
  <si>
    <t>14 июня 2024 15:31:32</t>
  </si>
  <si>
    <t>14 июня 2024 15:30:35</t>
  </si>
  <si>
    <t>01 июля 2024 16:53:10</t>
  </si>
  <si>
    <t>14 июня 2024 15:29:40</t>
  </si>
  <si>
    <t>14 июня 2024 15:27:55</t>
  </si>
  <si>
    <t>07 июня 2024 16:09:34</t>
  </si>
  <si>
    <t>01 июля 2024 16:47:38</t>
  </si>
  <si>
    <t>07 июня 2024 16:04:32</t>
  </si>
  <si>
    <t>07 июня 2024 16:03:25</t>
  </si>
  <si>
    <t>07 июня 2024 16:02:28</t>
  </si>
  <si>
    <t>07 июня 2024 16:01:20</t>
  </si>
  <si>
    <t>07 июня 2024 15:56:23</t>
  </si>
  <si>
    <t>07 июня 2024 15:55:25</t>
  </si>
  <si>
    <t>07 июня 2024 15:49:38</t>
  </si>
  <si>
    <t>07 июня 2024 15:48:44</t>
  </si>
  <si>
    <t>07 июня 2024 15:36:07</t>
  </si>
  <si>
    <t>07 июня 2024 15:35:15</t>
  </si>
  <si>
    <t>07 июня 2024 15:34:19</t>
  </si>
  <si>
    <t>01 июля 2024 16:41:00</t>
  </si>
  <si>
    <t>21 июня 2024 15:47:47</t>
  </si>
  <si>
    <t>01 июля 2024 17:04:07</t>
  </si>
  <si>
    <t>29 декабря 2023 12:03:46</t>
  </si>
  <si>
    <t>15 декабря 2023 15:14:29</t>
  </si>
  <si>
    <t>15 декабря 2023 15:18:21</t>
  </si>
  <si>
    <t>15 декабря 2023 14:54:59</t>
  </si>
  <si>
    <t>01 декабря 2023 16:29:56</t>
  </si>
  <si>
    <t>01 декабря 2023 16:30:52</t>
  </si>
  <si>
    <t>29 декабря 2023 11:59:54</t>
  </si>
  <si>
    <t>01 декабря 2023 16:29:03</t>
  </si>
  <si>
    <t>01 декабря 2023 16:28:07</t>
  </si>
  <si>
    <t>01 декабря 2023 15:49:02</t>
  </si>
  <si>
    <t>17 ноября 2023 15:35:01</t>
  </si>
  <si>
    <t>17 ноября 2023 15:33:51</t>
  </si>
  <si>
    <t>17 ноября 2023 15:32:46</t>
  </si>
  <si>
    <t>22 декабря 2023 15:40:06</t>
  </si>
  <si>
    <t>17 ноября 2023 15:24:39</t>
  </si>
  <si>
    <t>17 ноября 2023 15:22:49</t>
  </si>
  <si>
    <t>10 ноября 2023 14:44:08</t>
  </si>
  <si>
    <t>10 ноября 2023 14:40:23</t>
  </si>
  <si>
    <t>29 декабря 2023 11:53:33</t>
  </si>
  <si>
    <t>10 ноября 2023 14:32:37</t>
  </si>
  <si>
    <t>03 ноября 2023 16:18:54</t>
  </si>
  <si>
    <t>03 ноября 2023 16:17:55</t>
  </si>
  <si>
    <t>03 ноября 2023 16:16:52</t>
  </si>
  <si>
    <t>03 ноября 2023 16:12:14</t>
  </si>
  <si>
    <t>03 ноября 2023 16:11:12</t>
  </si>
  <si>
    <t>03 ноября 2023 16:03:13</t>
  </si>
  <si>
    <t>03 ноября 2023 16:02:17</t>
  </si>
  <si>
    <t>03 ноября 2023 15:58:26</t>
  </si>
  <si>
    <t>03 ноября 2023 15:57:29</t>
  </si>
  <si>
    <t>22 декабря 2023 15:35:42</t>
  </si>
  <si>
    <t>03 ноября 2023 15:53:01</t>
  </si>
  <si>
    <t>03 ноября 2023 15:51:58</t>
  </si>
  <si>
    <t>22 декабря 2023 15:34:49</t>
  </si>
  <si>
    <t>---</t>
  </si>
  <si>
    <t>ВНИМАНИЕ: Нет чека в заявлении</t>
  </si>
  <si>
    <t>C:\Users\Logik\Documents\ИП Коротаев ОА\Архив Штрафы ИП КОА\1 ИЛ\+ 289 М4 А40-153947-2025 Полякова А. Б. -- мту\3 Заявление в МТУ А40-153947-2025</t>
  </si>
  <si>
    <t>C:\Users\Logik\Documents\ИП Коротаев ОА\Архив Штрафы ИП КОА\1 ИЛ\+ 316 C4 А40-206741-2025 Сизова О. В мту\3 Заявление в МТУ А40-206741-2025</t>
  </si>
  <si>
    <t>C:\Users\Logik\Documents\ИП Коротаев ОА\Архив Штрафы ИП КОА\1 ИЛ\+ 318 C1 А40-205989-2025 Кипель М. Т -- акт\3 Заявление в МТУ А40-205989-2025</t>
  </si>
  <si>
    <t>C:\Users\Logik\Documents\ИП Коротаев ОА\Архив Штрафы ИП КОА\1 ИЛ\+ 322 C8  А40-207489-2025 Полякова А. Б мту\3 Заявление в МТУ А40-207489-2025</t>
  </si>
  <si>
    <t>C:\Users\Logik\Documents\ИП Коротаев ОА\Архив Штрафы ИП КОА\1 ИЛ\+ 323 C7 А40-206641-2025 Поздняков В. Д -- мту\3 Заявление в МТУ А40-206641-2025</t>
  </si>
  <si>
    <t>C:\Users\Logik\Documents\ИП Коротаев ОА\Архив Штрафы ИП КОА\1 ИЛ\+ 332 Т1 - А40-222664-2025 Дейна Н. В -- акт\3 Заявление в МТУ А40-222664-2025</t>
  </si>
  <si>
    <t>C:\Users\Logik\Documents\ИП Коротаев ОА\Архив Штрафы ИП КОА\1 ИЛ\+ 338 Т6 А40-226709-2025 Аксенова Е. А мту\3 Заявление в МТУ А40-226709-2025</t>
  </si>
  <si>
    <t>C:\Users\Logik\Documents\ИП Коротаев ОА\Архив Штрафы ИП КОА\1 ИЛ\+ 339 Т7 А40-226626-2025 Гилаев Д. А -- акт\3 Заявление в МТУ А40-226626-2025</t>
  </si>
  <si>
    <t>C:\Users\Logik\Documents\ИП Коротаев ОА\Архив Штрафы ИП КОА\1 ИЛ\+ 341 У1  А40-236721-2025 Полякова А. Б -- акт\3 Заявление в МТУ А40-236721-2025</t>
  </si>
  <si>
    <t>C:\Users\Logik\Documents\ИП Коротаев ОА\Архив Штрафы ИП КОА\1 ИЛ\- 292 Н1 А40-165364-2025 Немова О. Ю.  - мту\3 Заявление в МТУ А40-165364-2025</t>
  </si>
  <si>
    <t>C:\Users\Logik\Documents\ИП Коротаев ОА\Архив Штрафы ИП КОА\1 ИЛ\- 296 Н5 А40-165375-2025 Ласкина С. О.  - мту\3 Заявление в МТУ А40-165375-2025</t>
  </si>
  <si>
    <t>C:\Users\Logik\Documents\ИП Коротаев ОА\Архив Штрафы ИП КОА\1 ИЛ\- 297 Н6 А40-165379-2025 Нариманидзе Н. А. -  мту\3 Заявление в МТУ А40-165379-2025</t>
  </si>
  <si>
    <t>C:\Users\Logik\Documents\ИП Коротаев ОА\Архив Штрафы ИП КОА\1 ИЛ\- 301 О1 А40-180841-2025 Немова О. Ю. - мту\3 Заявление в МТУ А40-180841-2025</t>
  </si>
  <si>
    <t>C:\Users\Logik\Documents\ИП Коротаев ОА\Архив Штрафы ИП КОА\1 ИЛ\- 305 О5 А40-180871-2025 Девицкая Н. Е. - мту\3 Заявление в МТУ А40-180871-2025</t>
  </si>
  <si>
    <t>C:\Users\Logik\Documents\ИП Коротаев ОА\Архив Штрафы ИП КОА\1 ИЛ\- 306 О6 А40-180875-2025 Махлаева Т. И. -- мту\3 Заявление в МТУ А40-180875-2025</t>
  </si>
  <si>
    <t>C:\Users\Logik\Documents\ИП Коротаев ОА\Архив Штрафы ИП КОА\1 ИЛ\- 308 О8 А40-180890-2025 Немова О. Ю. --  мту\3 Заявление в МТУ А40-180890-2025</t>
  </si>
  <si>
    <t>C:\Users\Logik\Documents\ИП Коротаев ОА\Архив Штрафы ИП КОА\1 ИЛ\- 310 П1 А40-197258-2025 Сизова О. В. --  мту\3 Заявление в МТУ А40-197258-2025</t>
  </si>
  <si>
    <t>C:\Users\Logik\Documents\ИП Коротаев ОА\Архив Штрафы ИП КОА\1 ИЛ\- 315 П6 А40-198311-2025 Сизова О. В. -- мту\3 Заявление в МТУ А40-198311-2025</t>
  </si>
  <si>
    <t>C:\Users\Logik\Documents\ИП Коротаев ОА\Архив Штрафы ИП КОА\1 ИЛ\213 Г5 А40-84408-2025 Уточкин И. Н. есть 15-90 мту\3 Заявление в МТУ А40-84408-2025</t>
  </si>
  <si>
    <t>C:\Users\Logik\Documents\ИП Коротаев ОА\Архив Штрафы ИП КОА\1 ИЛ\_ИЛ нет\214 Г7 А40-84444-2025 Ласкина С. О. + есть 15-90 мту\3 Заявление в МТУ А40-84444-2025</t>
  </si>
  <si>
    <t>C:\Users\Logik\Documents\ИП Коротаев ОА\Архив Штрафы ИП КОА\1 ИЛ\_ИЛ нет\215 Г6 А40-84501-2025 Ласкина С. О.+ есть 15-90 мту\3 Заявление в МТУ А40-84501-2025</t>
  </si>
  <si>
    <t>C:\Users\Logik\Documents\ИП Коротаев ОА\Архив Штрафы ИП КОА\1 ИЛ\216 Г8 А40-84653-2025 Кипель М. Т. есть 93750 мту\3 Заявление в МТУ А40-84653-2025</t>
  </si>
  <si>
    <t>C:\Users\Logik\Documents\ИП Коротаев ОА\Архив Штрафы ИП КОА\1 ИЛ\222 П4 А40-88854-2025 Аксенова Е. А. есть 93750 мту\3 Заявление в МТУ А40-88854-2025</t>
  </si>
  <si>
    <t>C:\Users\Logik\Documents\ИП Коротаев ОА\Архив Штрафы ИП КОА\1 ИЛ\224 П6 А40-92919-2025  Гилаев Д. А есть 93750 мту\3 Заявление в МТУ А40-92919-2025</t>
  </si>
  <si>
    <t>C:\Users\Logik\Documents\ИП Коротаев ОА\Архив Штрафы ИП КОА\1 ИЛ\269 К3 А40-135502-2025 Уточкин И. Н. мту\3 Заявление в МТУ А40-135502-2025</t>
  </si>
  <si>
    <t>C:\Users\Logik\Documents\ИП Коротаев ОА\Архив Штрафы ИП КОА\1 ИЛ\279 Л3 А40-140514-2025 Харламов А. О. мту\3 Заявление в МТУ А40-140514-2025</t>
  </si>
  <si>
    <t>C:\Users\Logik\Documents\ИП Коротаев ОА\Архив Штрафы ИП КОА\1 ИЛ\280 Л4 А40-147925-2025 Полякова А. Б. -- мту\3 Заявление в МТУ А40-147925-2025</t>
  </si>
  <si>
    <t>C:\Users\Logik\Documents\ИП Коротаев ОА\Архив Штрафы ИП КОА\1 ИЛ\285 Л9 А40-153914-2025 Харламов А. О. -- мту\3 Заявление в МТУ А40-153914-2025</t>
  </si>
  <si>
    <t>C:\Users\Logik\Documents\ИП Коротаев ОА\Архив Штрафы ИП КОА\1 ИЛ\286 М1 А40-153929-2025 Аксенова Е. А. -- мту\3 Заявление в МТУ А40-153929-2025</t>
  </si>
  <si>
    <t>C:\Users\Logik\Documents\ИП Коротаев ОА\Архив Штрафы ИП КОА\1 ИЛ\_ИЛ нет\288 М3 А40-154023-2025 Сизова О. В. -- мту\3 Заявление в МТУ А40-154023-2025</t>
  </si>
  <si>
    <t>C:\Users\Logik\Documents\ИП Коротаев ОА\Архив Штрафы ИП КОА\1 ИЛ\303 О3 А40-180851-2025 Папелишвили Г. Н. в части2 -- мту\3 Заявление в МТУ А40-180851-2025</t>
  </si>
  <si>
    <t>C:\Users\Logik\Documents\ИП Коротаев ОА\Архив Штрафы ИП КОА\1 ИЛ\304 О4 А40-180862-2025 Папелишвили Г. Н. -- в части3 мту\3 Заявление в МТУ А40-180862-2025</t>
  </si>
  <si>
    <t>C:\Users\Logik\Documents\ИП Коротаев ОА\Архив Штрафы ИП КОА\1 ИЛ\307 О7 А40-180879-2025 Ласкина С. О. -- мту\3 Заявление в МТУ А40-180879-2025</t>
  </si>
  <si>
    <t>C:\Users\Logik\Documents\ИП Коротаев ОА\Архив Штрафы ИП КОА\1 ИЛ\309 П0 А40-197053-2025 Харламов А. О. -- мту\3 Заявление в МТУ А40-197053-2025</t>
  </si>
  <si>
    <t>C:\Users\Logik\Documents\ИП Коротаев ОА\Архив Штрафы ИП КОА\1 ИЛ\311 П2 А40-197024-2025 Немова О. Ю. -- мту\3 Заявление в МТУ А40-197024-2025</t>
  </si>
  <si>
    <t>C:\Users\Logik\Documents\ИП Коротаев ОА\Архив Штрафы ИП КОА\1 ИЛ\312 П3 А40-197051-2025 Уточкин И. Н. -- мту\3 Заявление в МТУ А40-197051-2025</t>
  </si>
  <si>
    <t>C:\Users\Logik\Documents\ИП Коротаев ОА\Архив Штрафы ИП КОА\1 ИЛ\313 П4 А40-197103-2025 Немова О. Ю. -- мту\3 Заявление в МТУ А40-197103-2025</t>
  </si>
  <si>
    <t>C:\Users\Logik\Documents\ИП Коротаев ОА\Архив Штрафы ИП КОА\1 ИЛ\314 П5 А40-197044-2025 Харламов А. О. -- мту\3 Заявление в МТУ А40-197044-2025</t>
  </si>
  <si>
    <t>C:\Users\Logik\Documents\ИП Коротаев ОА\Архив Штрафы ИП КОА\1 ИЛ\317 С9 А40-207531-2025 Харламов А. О мту\3 Заявление в МТУ А40-207531-2025</t>
  </si>
  <si>
    <t>C:\Users\Logik\Documents\ИП Коротаев ОА\Архив Штрафы ИП КОА\1 ИЛ\319 C2 А40-206384-2025 Вихарев А. В -- мту\3 Заявление в МТУ А40-206384-2025</t>
  </si>
  <si>
    <t>C:\Users\Logik\Documents\ИП Коротаев ОА\Архив Штрафы ИП КОА\1 ИЛ\320 C3 А40-206708-2025 Харламов А. О -- мту\3 Заявление в МТУ А40-206708-2025</t>
  </si>
  <si>
    <t>C:\Users\Logik\Documents\ИП Коротаев ОА\Архив Штрафы ИП КОА\1 ИЛ\321 C6 А40-206799-2025 Сизова О. В. -- мту\3 Заявление в МТУ А40-206799-2025</t>
  </si>
  <si>
    <t>C:\Users\Logik\Documents\ИП Коротаев ОА\Архив Штрафы ИП КОА\1 ИЛ\324 C5 А40-206782-2025 Харламов А. О -- мту\3 Заявление в МТУ А40-206782-2025</t>
  </si>
  <si>
    <t>C:\Users\Logik\Documents\ИП Коротаев ОА\Архив Штрафы ИП КОА\1 ИЛ\334 Т3 А40-222670-2025 Папелишвили Г. Н -мту\3 Заявление в МТУ А40-222670-2025</t>
  </si>
  <si>
    <t>C:\Users\Logik\Documents\ИП Коротаев ОА\Архив Штрафы ИП КОА\1 ИЛ\335 Т4 А40-222672-2025 Ваганова Е. А - мту\3 Заявление в МТУ А40-222672-2025</t>
  </si>
  <si>
    <t>C:\Users\Logik\Documents\ИП Коротаев ОА\Архив Штрафы ИП КОА\1 ИЛ\340 Т8 А40-226774-2025 Ласкина С. О -- акт\3 Заявление в МТУ А40-226774-2025</t>
  </si>
  <si>
    <t>C:\Users\Logik\Documents\ИП Коротаев ОА\Архив Штрафы ИП КОА\1 ИЛ\342 У2 А40-236729-2025 Полякова А. Б -- акт\3 Заявление в МТУ А40-236729-2025</t>
  </si>
  <si>
    <t>C:\Users\Logik\Documents\ИП Коротаев ОА\Архив Штрафы ИП КОА\1 ИЛ\343 У3 А40-236732-2025 Кипель М. Т -- акт\3 Заявление в МТУ А40-236732-2025</t>
  </si>
  <si>
    <t>C:\Users\Logik\Documents\ИП Коротаев ОА\Архив Штрафы ИП КОА\1 ИЛ\344 У5  А40-236747-2025 Полякова А. Б - акт\3 Заявление в МТУ А40-236747-2025</t>
  </si>
  <si>
    <t>C:\Users\Logik\Documents\ИП Коротаев ОА\Архив Штрафы ИП КОА\1 ИЛ\345 У4 А40-236736-2025 Полякова А. Б -- акт\3 Заявление в МТУ А40-236736-2025</t>
  </si>
  <si>
    <t>C:\Users\Logik\Documents\ИП Коротаев ОА\Архив Штрафы ИП КОА\1 ИЛ\346 У5 А40-246792-2025 Полякова А. Б -- акт\3 Заявление в МТУ А40-246792-2025</t>
  </si>
  <si>
    <t>C:\Users\Logik\Documents\ИП Коротаев ОА\Архив Штрафы ИП КОА\1 ИЛ\347 У6 А40-246884-2025 Ваганова Е. А - акт есть\3 Заявление в МТУ А40-246884-2025</t>
  </si>
  <si>
    <t>C:\Users\Logik\Documents\ИП Коротаев ОА\Архив Штрафы ИП КОА\1 ИЛ\348 У7 А40-246918-2025 Девицкая Н. Е -- акт\3 Заявление в МТУ А40-246918-2025</t>
  </si>
  <si>
    <t>C:\Users\Logik\Documents\ИП Коротаев ОА\Архив Штрафы ИП КОА\1 ИЛ\349 У8 А40-246984-2025 Кипель М. Т -- акт\3 Заявление в МТУ А40-246984-2025</t>
  </si>
  <si>
    <t>C:\Users\Logik\Documents\ИП Коротаев ОА\Архив Штрафы ИП КОА\1 ИЛ\350 У9 А40-247046-2025 Дейна Н. В -- акт\3 Заявление в МТУ А40-247046-2025</t>
  </si>
  <si>
    <t>C:\Users\Logik\Documents\ИП Коротаев ОА\Архив Штрафы ИП КОА\1 ИЛ\351 У10 А40-246876-2025 Сизова О. В -- мту\3 Заявление в МТУ А40-246876-2025</t>
  </si>
  <si>
    <t>C:\Users\Logik\Documents\ИП Коротаев ОА\Архив Штрафы ИП КОА\1 ИЛ\356 Ф1 А40-261005-2025 Полякова А. Б. акт\3 Заявление в МТУ А40-261005-2025</t>
  </si>
  <si>
    <t>C:\Users\Logik\Documents\ИП Коротаев ОА\Архив Штрафы ИП КОА\1 ИЛ\357 Ф2 А40-261065-2025 Сизова О. В. - мту\3 Заявление в МТУ А40-261065-2025</t>
  </si>
  <si>
    <t>C:\Users\Logik\Documents\ИП Коротаев ОА\Архив Штрафы ИП КОА\1 ИЛ\358 Ф3 А40-261142-2025 Кузин М. М. +1 акт ЭЦП +21.02.26\3 Заявление в МТУ А40-261142-2025</t>
  </si>
  <si>
    <t>C:\Users\Logik\Documents\ИП Коротаев ОА\Архив Штрафы ИП КОА\1 ИЛ\359 Ф4 А40-281908-2025 Ваганова Е. А акт есть +12.03.26\3 Заявление в МТУ А40-281908-2025</t>
  </si>
  <si>
    <t>C:\Users\Logik\Documents\ИП Коротаев ОА\Архив Штрафы ИП КОА\1 ИЛ\360 Ф5 А40-281951-2025 Ласкина С. О акт есть +25.03.26\3 Заявление в МТУ А40-281951-2025</t>
  </si>
  <si>
    <t>10673342243451106391 14 июня 2024 15-13-00.pdf</t>
  </si>
  <si>
    <t>OK: Чек найден (Рядом с якорем)</t>
  </si>
  <si>
    <t>C:\Users\Logik\Documents\ИП Коротаев ОА\Архив Штрафы ИП КОА\1 ИЛ\_ИЛ есть\114 -86  уск А40-144581-2024 Полякова А Б + мту</t>
  </si>
  <si>
    <t>10673342243451264051 14 июня 2024 15-14-42.pdf</t>
  </si>
  <si>
    <t>10673342243451589627 14 июня 2024 15-15-33.pdf</t>
  </si>
  <si>
    <t>10673342243452229392 21 июня 2024 15-45-54.pdf</t>
  </si>
  <si>
    <t>C:\Users\Logik\Documents\ИП Коротаев ОА\Архив Штрафы ИП КОА\1 ИЛ\_ИЛ есть\136 Г3 А40-310554-2024 Аксенова Е. А -мту\3 Заявление в МТУ А40-310554-2024</t>
  </si>
  <si>
    <t>C:\Users\Logik\Documents\ИП Коротаев ОА\Архив Штрафы ИП КОА\1 ИЛ\_ИЛ есть\166 Л1 А40-40657-2025 Вихарев АВ- ошибка СР мту\3 Заявление в МТУ А40-40657-2025</t>
  </si>
  <si>
    <t>C:\Users\Logik\Documents\ИП Коротаев ОА\Архив Штрафы ИП КОА\1 ИЛ\_ИЛ есть\173 Л7 А40-44226-2025 Кипель М. Т- жду СР мту\3 Заявление в МТУ А40-44226-2025</t>
  </si>
  <si>
    <t>C:\Users\Logik\Documents\ИП Коротаев ОА\Архив Штрафы ИП КОА\1 ИЛ\_ИЛ есть\177 Л9 А40-48596-2025 Нариманидзе Н. А. - СР мту\3 Заявление в МТУ А40-48596-2025</t>
  </si>
  <si>
    <t>C:\Users\Logik\Documents\ИП Коротаев ОА\Архив Штрафы ИП КОА\1 ИЛ\_ИЛ есть\182 А2 А40-58880-2025 Поздняков В.Д мту\3 Заявление в МТУ А40-58880-2025</t>
  </si>
  <si>
    <t>C:\Users\Logik\Documents\ИП Коротаев ОА\Архив Штрафы ИП КОА\1 ИЛ\_ИЛ есть\184 А4 А40-61158-2025 Аксенова Е. А мту\3 Заявление в МТУ А40-61158-2025</t>
  </si>
  <si>
    <t>C:\Users\Logik\Documents\ИП Коротаев ОА\Архив Штрафы ИП КОА\1 ИЛ\_ИЛ есть\188 А8 А40-61470-2025 Сизова О. В. мту\3 Заявление в МТУ А40-61470-2025</t>
  </si>
  <si>
    <t>C:\Users\Logik\Documents\ИП Коротаев ОА\Архив Штрафы ИП КОА\1 ИЛ\_ИЛ есть\190 Б1 А40-67141-2025 Вихарев А. В мту\3 Заявление в МТУ А40-67141-2025</t>
  </si>
  <si>
    <t>C:\Users\Logik\Documents\ИП Коротаев ОА\Архив Штрафы ИП КОА\1 ИЛ\_ИЛ есть\191 Б2 А40-67215-2025 Дейна Н. В. есть 93750 мту\3 Заявление в МТУ А40-67215-2025</t>
  </si>
  <si>
    <t>C:\Users\Logik\Documents\ИП Коротаев ОА\Архив Штрафы ИП КОА\1 ИЛ\_ИЛ есть\193 Б7 А40-70185-2025 Дейна Н. В - есть 93750 мту\3 Заявление в МТУ А40-70185-2025</t>
  </si>
  <si>
    <t>C:\Users\Logik\Documents\ИП Коротаев ОА\Архив Штрафы ИП КОА\1 ИЛ\_ИЛ есть\194 Б4 А40-70066-2025 Аксенова Е. А мту\3 Заявление в МТУ А40-70066-2025</t>
  </si>
  <si>
    <t>C:\Users\Logik\Documents\ИП Коротаев ОА\Архив Штрафы ИП КОА\1 ИЛ\_ИЛ есть\195 Б6 А40-70243-2025 Аксенова Е. А. мту\3 Заявление в МТУ А40-70243-2025</t>
  </si>
  <si>
    <t>C:\Users\Logik\Documents\ИП Коротаев ОА\Архив Штрафы ИП КОА\1 ИЛ\_ИЛ есть\198 В1 А40-72213-2025 Ласкина С. О мту\3 Заявление в МТУ А40-72213-2025</t>
  </si>
  <si>
    <t>C:\Users\Logik\Documents\ИП Коротаев ОА\Архив Штрафы ИП КОА\1 ИЛ\_ИЛ есть\200 В3 А40-72876-2025 Немова О. Ю мту\3 Заявление в МТУ А40-72876-2025</t>
  </si>
  <si>
    <t>C:\Users\Logik\Documents\ИП Коротаев ОА\Архив Штрафы ИП КОА\1 ИЛ\_ИЛ есть\204 В7 А40-73404-2025  Вихарев А.В мту\3 Заявление в МТУ А40-73404-2025</t>
  </si>
  <si>
    <t>C:\Users\Logik\Documents\ИП Коротаев ОА\Архив Штрафы ИП КОА\1 ИЛ\_ИЛ есть\205 В8 А40-73463-2025 Поздняков В. Д - мту\3 Заявление в МТУ А40-73463-2025</t>
  </si>
  <si>
    <t>C:\Users\Logik\Documents\ИП Коротаев ОА\Архив Штрафы ИП КОА\1 ИЛ\_ИЛ есть\206 В9 А40-80097-2025 Аксенова Е. А мту\3 Заявление в МТУ А40-80097-2025</t>
  </si>
  <si>
    <t>C:\Users\Logik\Documents\ИП Коротаев ОА\Архив Штрафы ИП КОА\1 ИЛ\_ИЛ есть\212 Г4 А40-83816-2025 Девицкая Н. Е. в части мту\3 Заявление в МТУ А40-83816-2025</t>
  </si>
  <si>
    <t>C:\Users\Logik\Documents\ИП Коротаев ОА\Архив Штрафы ИП КОА\1 ИЛ\_ИЛ есть\217 Г9 А40-84735-2025 Дейна Н.В мту\3 Заявление в МТУ А40-84735-2025</t>
  </si>
  <si>
    <t>C:\Users\Logik\Documents\ИП Коротаев ОА\Архив Штрафы ИП КОА\1 ИЛ\_ИЛ есть\228 Р1 А40-97220-2025 Вихарев А. В мту\3 Заявление в МТУ А40-97220-2025</t>
  </si>
  <si>
    <t>C:\Users\Logik\Documents\ИП Коротаев ОА\Архив Штрафы ИП КОА\1 ИЛ\_ИЛ есть\241 Д5 А40-108169-2025 Вихарев А. В. мту\3 Заявление в МТУ А40-108169-2025</t>
  </si>
  <si>
    <t>C:\Users\Logik\Documents\ИП Коротаев ОА\Архив Штрафы ИП КОА\1 ИЛ\_ИЛ есть\248 Е3 А40-110981-2025 Гилаев Д. А. Э мту\3 Заявление в МТУ А40-110981-2025</t>
  </si>
  <si>
    <t>C:\Users\Logik\Documents\ИП Коротаев ОА\Архив Штрафы ИП КОА\1 ИЛ\_ИЛ есть\260 И4 А40-121051-2025 Дейна Н. В. -- мту\3 Заявление в МТУ А40-121051-2025</t>
  </si>
  <si>
    <t>C:\Users\Logik\Documents\ИП Коротаев ОА\Архив Штрафы ИП КОА\1 ИЛ\_ИЛ есть\271 К5 А40-135298-2025 Ваганова Е. А. мту\3 Заявление в МТУ А40-135298-2025</t>
  </si>
  <si>
    <t>C:\Users\Logik\Documents\ИП Коротаев ОА\Архив Штрафы ИП КОА\1 ИЛ\_ИЛ есть\277 Л1 А40-140396-2025 Поздняков В. Д. мту\3 Заявление в МТУ А40-140396-2025</t>
  </si>
  <si>
    <t>C:\Users\Logik\Documents\ИП Коротаев ОА\Архив Штрафы ИП КОА\1 ИЛ\_ИЛ есть\283 Л7 А40-148514-2025 Махлаева Т. И. -- мту\3 Заявление в МТУ А40-148514-2025</t>
  </si>
  <si>
    <t>C:\Users\Logik\Documents\ИП Коротаев ОА\Архив Штрафы ИП КОА\1 ИЛ\_ИЛ есть\284 Л8 А40-149117-2025 Вихарев А. В. -- мту\3 Заявление в МТУ А40-149117-2025</t>
  </si>
  <si>
    <t>C:\Users\Logik\Documents\ИП Коротаев ОА\Архив Штрафы ИП КОА\1 ИЛ\_ИЛ есть\290 М5 А40-153960-2025 Дейна Н. В. -- мту\3 Заявление в МТУ А40-153960-2025</t>
  </si>
  <si>
    <t>C:\Users\Logik\Documents\ИП Коротаев ОА\Архив Штрафы ИП КОА\1 ИЛ\_ИЛ есть\294 Н3 А40-165370-2025 Ваганова Е. А. -- мту\3 Заявление в МТУ А40-165370-2025</t>
  </si>
  <si>
    <t>C:\Users\Logik\Documents\ИП Коротаев ОА\Архив Штрафы ИП КОА\1 ИЛ\_ИЛ есть\299 Н8 А40-165391-2025 Поздняков В. Д. -- мту\3 Заявление в МТУ А40-165391-2025</t>
  </si>
  <si>
    <t>C:\Users\Logik\Documents\ИП Коротаев ОА\Архив Штрафы ИП КОА\1 ИЛ\_ИЛ есть\300 Н9 А40-165398-2025 Поздняков В. Д. -- мту\3 Заявление в МТУ А40-165398-2025</t>
  </si>
  <si>
    <t>C:\Users\Logik\Documents\ИП Коротаев ОА\Архив Штрафы ИП КОА\1 ИЛ\_ИЛ нет\+ 333 Т2 А40-222668-2025 Поздняков В. Д -- мту\3 Заявление в МТУ А40-222668-2025</t>
  </si>
  <si>
    <t>C:\Users\Logik\Documents\ИП Коротаев ОА\Архив Штрафы ИП КОА\1 ИЛ\_ИЛ нет\- 298 Н7 А40-165389-2025 Дейна Н. В. -  мту\3 Заявление в МТУ А40-165389-2025</t>
  </si>
  <si>
    <t>C:\Users\Logik\Documents\ИП Коротаев ОА\Архив Штрафы ИП КОА\1 ИЛ\_ИЛ нет\229 Р2 А40-97318-2025 Кипель М. Т мту\3 Заявление в МТУ А40-97318-2025</t>
  </si>
  <si>
    <t>C:\Users\Logik\Documents\ИП Коротаев ОА\Архив Штрафы ИП КОА\1 ИЛ\_ИЛ нет\234 Р7 А40-97423-2025 Кипель М. Т мту\3 Заявление в МТУ А40-97423-2025</t>
  </si>
  <si>
    <t>C:\Users\Logik\Documents\ИП Коротаев ОА\Архив Штрафы ИП КОА\1 ИЛ\_ИЛ нет\242 Д6 А40-108294-2025 Ласкина С. О. Э мту\3 Заявление в МТУ А40-108294-2025</t>
  </si>
  <si>
    <t>C:\Users\Logik\Documents\ИП Коротаев ОА\Архив Штрафы ИП КОА\1 ИЛ\_ИЛ нет\247 Е2 А40-110869-2025 Полякова А. Б. Э мту\3 Заявление в МТУ А40-110869-2025</t>
  </si>
  <si>
    <t>C:\Users\Logik\Documents\ИП Коротаев ОА\Архив Штрафы ИП КОА\1 ИЛ\_ИЛ нет\250 Е5 А40-111029-2025 Кипель М. Т. Э мту\3 Заявление в МТУ А40-111029-2025</t>
  </si>
  <si>
    <t>C:\Users\Logik\Documents\ИП Коротаев ОА\Архив Штрафы ИП КОА\1 ИЛ\_ИЛ нет\270 К4 А40-135517-2025 Харламов А. О. мту\3 Заявление в МТУ А40-135517-2025</t>
  </si>
  <si>
    <t>C:\Users\Logik\Documents\ИП Коротаев ОА\Архив Штрафы ИП КОА\1 ИЛ\_ИЛ нет\276 К9 А40-140257-2025 Кукина С. М. мту\3 Заявление в МТУ А40-140257-2025</t>
  </si>
  <si>
    <t>C:\Users\Logik\Documents\ИП Коротаев ОА\Архив Штрафы ИП КОА\1 ИЛ\_ИЛ нет\281 Л5 А40-148308-2025 Полякова А. Б. -- мту\3 Заявление в МТУ А40-148308-2025</t>
  </si>
  <si>
    <t>C:\Users\Logik\Documents\ИП Коротаев ОА\Архив Штрафы ИП КОА\1 ИЛ\_ИЛ нет\282 Л6  А40-148381-2025 Полякова А. Б. --мту\3 Заявление в МТУ А40-148381-2025</t>
  </si>
  <si>
    <t>C:\Users\Logik\Documents\ИП Коротаев ОА\Архив Штрафы ИП КОА\1 ИЛ\_ИЛ нет\287 М2 А40-153979-2025 Полякова А. Б. --мту\3 Заявление в МТУ А40-153979-2025</t>
  </si>
  <si>
    <t>C:\Users\Logik\Documents\ИП Коротаев ОА\Архив Штрафы ИП КОА\1 ИЛ\_ИЛ нет\295 Н4 А40-165328-2025 Харламов А. О.  -- мту\3 Заявление в МТУ А40-165328-2025</t>
  </si>
  <si>
    <t>10673342233498308161 01 декабря 2023 15-43-01.pdf</t>
  </si>
  <si>
    <t>OK: Чек найден (В заявлении)</t>
  </si>
  <si>
    <t>C:\Users\Logik\Documents\ИП Коротаев ОА\Архив Штрафы ИП КОА\1 ИЛ\А1 А40-284644-2025 Дейна Н. В акт есть СБРФ +04.03.26\3 Заявление в МТУ А40-284644-2025</t>
  </si>
  <si>
    <t>10673342233498673218 01 декабря 2023 15-41-55.pdf</t>
  </si>
  <si>
    <t>10673342233499028049 01 декабря 2023 15-40-53.pdf</t>
  </si>
  <si>
    <t>10673342233499247336 08 декабря 2023 15-06-13.pdf</t>
  </si>
  <si>
    <t>10673342243443663236 24 мая 2024 15-06-34.pdf</t>
  </si>
  <si>
    <t>C:\Users\Logik\Documents\ИП Коротаев ОА\Архив Штрафы ИП КОА\1 ИЛ\А11 А40-284728-2025 Харламов А. О акт ЭЦП СБРФ+мту\3 Заявление в МТУ А40-284728-2025</t>
  </si>
  <si>
    <t>10673342243443758443 24 мая 2024 15-09-18.pdf</t>
  </si>
  <si>
    <t>10673342243444077551 24 мая 2024 15-12-01.pdf</t>
  </si>
  <si>
    <t>10673342243444106632 24 мая 2024 15-12-52.pdf</t>
  </si>
  <si>
    <t>10673342233499411594 08 декабря 2023 15-07-12.pdf</t>
  </si>
  <si>
    <t>C:\Users\Logik\Documents\ИП Коротаев ОА\Архив Штрафы ИП КОА\1 ИЛ\А2 А40-284652-2025 Кукина С. М акт есть СБРФ +22.03.26\3 Заявление в МТУ А40-284652-2025</t>
  </si>
  <si>
    <t>10673342243410315751 26 января 2024 14-56-05.pdf</t>
  </si>
  <si>
    <t>10673342243410701219 26 января 2024 14-58-25.pdf</t>
  </si>
  <si>
    <t>10673342243410704340 26 января 2024 14-57-24.pdf</t>
  </si>
  <si>
    <t>10673342243430978942 12 апреля 2024 14-56-45.pdf</t>
  </si>
  <si>
    <t>C:\Users\Logik\Documents\ИП Коротаев ОА\Архив Штрафы ИП КОА\1 ИЛ\А7 А40-284703-2025 Дейна Н. В + СБРФ +акт есть 040326\3 Заявление в МТУ А40-284703-2025</t>
  </si>
  <si>
    <t>10673342243431861151 12 апреля 2024 14-35-15.pdf</t>
  </si>
  <si>
    <t>10673342243432091295 12 апреля 2024 14-36-10.pdf</t>
  </si>
  <si>
    <t>10673342243432191362 19 апреля 2024 15-24-08.pdf</t>
  </si>
  <si>
    <t>10673342243440874449 17 мая 2024 14-33-42.pdf</t>
  </si>
  <si>
    <t>C:\Users\Logik\Documents\ИП Коротаев ОА\Архив Штрафы ИП КОА\1 ИЛ\А9 А40-284712-2025 Вихарев А. В акт +СБРФ +19.03.26\3 Заявление в МТУ А40-284712-2025</t>
  </si>
  <si>
    <t>10673342243440910160 17 мая 2024 14-35-31.pdf</t>
  </si>
  <si>
    <t>10673342243441085103 17 мая 2024 14-36-26.pdf</t>
  </si>
  <si>
    <t>10673342243441133256 17 мая 2024 14-37-20.pdf</t>
  </si>
  <si>
    <t>10673342243451042857 14 июня 2024 15-35-27.pdf</t>
  </si>
  <si>
    <t>C:\Users\Logik\Documents\ИП Коротаев ОА\Архив Штрафы ИП КОА\_новые 2026 на обработку\А15 А40-292216-2025 Ласкина С. О.+</t>
  </si>
  <si>
    <t>10673342243451117584 14 июня 2024 15-13-51.pdf</t>
  </si>
  <si>
    <t>10673342243451842084 21 июня 2024 15-41-04.pdf</t>
  </si>
  <si>
    <t>10673342243452278420 21 июня 2024 15-46-50.pdf</t>
  </si>
  <si>
    <t>10673342243441326224 24 мая 2024 15-25-26.pdf</t>
  </si>
  <si>
    <t>C:\Users\Logik\Documents\ИП Коротаев ОА\Архив Штрафы ИП КОА\А10 А40-284725-2025 Уточкин И. Н акт +26.03.26</t>
  </si>
  <si>
    <t>10673342243442356992 24 мая 2024 15-23-25.pdf</t>
  </si>
  <si>
    <t>10673342243443245248 24 мая 2024 15-18-47.pdf</t>
  </si>
  <si>
    <t>10673342243443434989 24 мая 2024 15-19-41.pdf</t>
  </si>
  <si>
    <t>10673342243444338304 24 мая 2024 14-48-35.pdf</t>
  </si>
  <si>
    <t>C:\Users\Logik\Documents\ИП Коротаев ОА\Архив Штрафы ИП КОА\А12 А40-292175-2025 Кукина С. М. акт +29.03.26</t>
  </si>
  <si>
    <t>10673342243444537242 24 мая 2024 14-49-32.pdf</t>
  </si>
  <si>
    <t>10673342243444606848 24 мая 2024 14-50-37.pdf</t>
  </si>
  <si>
    <t>10673342243444615189 24 мая 2024 14-51-34.pdf</t>
  </si>
  <si>
    <t>10673342243446907330 31 мая 2024 15-12-15.pdf</t>
  </si>
  <si>
    <t>C:\Users\Logik\Documents\ИП Коротаев ОА\Архив Штрафы ИП КОА\А13 А40-292183-2025 Кукина С. М. акт +29.03.26</t>
  </si>
  <si>
    <t>10673342243446940945 31 мая 2024 15-13-11.pdf</t>
  </si>
  <si>
    <t>10673342243447337007 07 июня 2024 16-00-19.pdf</t>
  </si>
  <si>
    <t>10673342243447512925 07 июня 2024 16-05-36.pdf</t>
  </si>
  <si>
    <t>10673342243447784500 07 июня 2024 16-06-32.pdf</t>
  </si>
  <si>
    <t>C:\Users\Logik\Documents\ИП Коротаев ОА\Архив Штрафы ИП КОА\А14 А40-292191-2025 Вихарев А. В. акт +30.03.26</t>
  </si>
  <si>
    <t>10673342243450266778 14 июня 2024 15-42-22.pdf</t>
  </si>
  <si>
    <t>10673342243450579024 14 июня 2024 15-28-45.pdf</t>
  </si>
  <si>
    <t>10673342243450849889 14 июня 2024 15-34-32.pdf</t>
  </si>
  <si>
    <t>10673342243452350199 21 июня 2024 15-25-59.pdf</t>
  </si>
  <si>
    <t>C:\Users\Logik\Documents\ИП Коротаев ОА\Архив Штрафы ИП КОА\А16 А40-292245-2025 Вихарев А. В акт +19.03.26</t>
  </si>
  <si>
    <t>10673342243452415037 21 июня 2024 15-27-30.pdf</t>
  </si>
  <si>
    <t>10673342243452532114 21 июня 2024 15-28-42.pdf</t>
  </si>
  <si>
    <t>10673342243452791357 21 июня 2024 15-31-45.pdf</t>
  </si>
  <si>
    <t>10673342243452976799 21 июня 2024 15-09-58.pdf</t>
  </si>
  <si>
    <t>C:\Users\Logik\Documents\ИП Коротаев ОА\Архив Штрафы ИП КОА\А17 А40-292254-2025 Вихарев А. В акт +19.03.26</t>
  </si>
  <si>
    <t>10673342243453067261 21 июня 2024 15-11-09.pdf</t>
  </si>
  <si>
    <t>10673342243453453579 21 июня 2024 15-12-11.pdf</t>
  </si>
  <si>
    <t>10673342243454315501 21 июня 2024 14-49-56.pdf</t>
  </si>
  <si>
    <t>C:\Users\Logik\Documents\ИП Коротаев ОА\Архив Штрафы ИП КОА\А25 А40-292394-2025 Харламов А. О акт +26.03.26\3 Заявление в МТУ А40-292394-2025</t>
  </si>
  <si>
    <t>10673342243410776775 26 января 2024 14-42-51.pdf</t>
  </si>
  <si>
    <t>C:\Users\Logik\Documents\ИП Коротаев ОА\Архив Штрафы ИП КОА\А3 А40-284661-2025 Ласкина С. О акт +25.03.26</t>
  </si>
  <si>
    <t>10673342243411071805 26 января 2024 14-54-14.pdf</t>
  </si>
  <si>
    <t>10673342243412118015 02 февраля 2024 15-41-04.pdf</t>
  </si>
  <si>
    <t>10673342243412135483 02 февраля 2024 15-42-25.pdf</t>
  </si>
  <si>
    <t>10673342243412182481 02 февраля 2024 15-43-31.pdf</t>
  </si>
  <si>
    <t>C:\Users\Logik\Documents\ИП Коротаев ОА\Архив Штрафы ИП КОА\А4 А40-284685-2025 Уточкин И. Н акт +26.03.26</t>
  </si>
  <si>
    <t>10673342243412559348 02 февраля 2024 15-28-32.pdf</t>
  </si>
  <si>
    <t>10673342243425888469 29 марта 2024 15-52-40.pdf</t>
  </si>
  <si>
    <t>10673342243427007761 29 марта 2024 15-23-17.pdf</t>
  </si>
  <si>
    <t>10673342243427056398 29 марта 2024 15-24-11.pdf</t>
  </si>
  <si>
    <t>C:\Users\Logik\Documents\ИП Коротаев ОА\Архив Штрафы ИП КОА\А5 А40-284689-2025 Дейна Н. В акт +04.03.26</t>
  </si>
  <si>
    <t>10673342243427163704 29 марта 2024 15-25-10.pdf</t>
  </si>
  <si>
    <t>10673342243427221275 29 марта 2024 15-26-19.pdf</t>
  </si>
  <si>
    <t>10673342243427324023 29 марта 2024 15-27-20.pdf</t>
  </si>
  <si>
    <t>10673342243427368187 29 марта 2024 15-28-19.pdf</t>
  </si>
  <si>
    <t>C:\Users\Logik\Documents\ИП Коротаев ОА\Архив Штрафы ИП КОА\А6 А40-284693-2025 Уточкин И. Н акт +26.03.26</t>
  </si>
  <si>
    <t>10673342243427449799 29 марта 2024 15-20-35.pdf</t>
  </si>
  <si>
    <t>10673342243428090603 05 апреля 2024 15-51-13.pdf</t>
  </si>
  <si>
    <t>10673342243430914916 12 апреля 2024 14-55-49.pdf</t>
  </si>
  <si>
    <t>10673342243432299287 19 апреля 2024 15-25-12.pdf</t>
  </si>
  <si>
    <t>C:\Users\Logik\Documents\ИП Коротаев ОА\Архив Штрафы ИП КОА\А8 А40-284708-2025 Кукина С. М акт +22.03.26</t>
  </si>
  <si>
    <t>10673342243432454088 19 апреля 2024 15-26-10.pdf</t>
  </si>
  <si>
    <t>10673342243432558797 27 апреля 2024 13-59-29.pdf</t>
  </si>
  <si>
    <t>10673342243432884805 19 апреля 2024 15-20-17.pdf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</si>
</sst>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766"/>
  <sheetViews>
    <sheetView tabSelected="1" workbookViewId="0">
      <selection activeCell="F714" sqref="F714"/>
    </sheetView>
  </sheetViews>
  <sheetFormatPr defaultRowHeight="15"/>
  <cols>
    <col min="1" max="1" width="9" style="5" customWidth="1"/>
    <col min="2" max="2" width="24.42578125" style="11" customWidth="1"/>
    <col min="3" max="3" width="4.7109375" style="11" customWidth="1"/>
    <col min="4" max="4" width="38.140625" style="11" customWidth="1"/>
    <col min="5" max="5" width="25.7109375" style="11" customWidth="1"/>
    <col min="6" max="6" width="134" style="11" customWidth="1"/>
    <col min="7" max="7" width="9.140625" style="11"/>
    <col min="8" max="16384" width="9.140625" style="6"/>
  </cols>
  <sheetData>
    <row r="1" spans="1:7" s="2" customFormat="1" ht="15.75" thickBot="1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/>
    </row>
    <row r="2" spans="1:7" customFormat="1" ht="15.75" hidden="1" thickBot="1">
      <c r="A2" t="s">
        <v>6</v>
      </c>
      <c r="B2" t="str">
        <f>"10673342243425915369"</f>
        <v>10673342243425915369</v>
      </c>
      <c r="C2" t="s">
        <v>7</v>
      </c>
      <c r="D2" t="s">
        <v>8</v>
      </c>
    </row>
    <row r="3" spans="1:7" customFormat="1" ht="15.75" hidden="1" thickBot="1">
      <c r="A3" t="s">
        <v>9</v>
      </c>
      <c r="B3" t="str">
        <f>"10673342243426038067"</f>
        <v>10673342243426038067</v>
      </c>
      <c r="C3" t="s">
        <v>10</v>
      </c>
      <c r="D3" t="s">
        <v>8</v>
      </c>
    </row>
    <row r="4" spans="1:7" customFormat="1" ht="15.75" hidden="1" thickBot="1">
      <c r="A4" t="s">
        <v>11</v>
      </c>
      <c r="B4" t="str">
        <f>"10673342243411545335"</f>
        <v>10673342243411545335</v>
      </c>
      <c r="C4" t="s">
        <v>12</v>
      </c>
      <c r="D4" t="s">
        <v>8</v>
      </c>
    </row>
    <row r="5" spans="1:7" customFormat="1" ht="15.75" hidden="1" thickBot="1">
      <c r="A5" t="s">
        <v>13</v>
      </c>
      <c r="B5" t="str">
        <f>"10673342243426343512"</f>
        <v>10673342243426343512</v>
      </c>
      <c r="C5" t="s">
        <v>14</v>
      </c>
      <c r="D5" t="s">
        <v>8</v>
      </c>
    </row>
    <row r="6" spans="1:7" customFormat="1" ht="15.75" hidden="1" thickBot="1">
      <c r="A6" t="s">
        <v>15</v>
      </c>
      <c r="B6" t="str">
        <f>"10673342243425751854"</f>
        <v>10673342243425751854</v>
      </c>
      <c r="C6" t="s">
        <v>16</v>
      </c>
      <c r="D6" t="s">
        <v>8</v>
      </c>
    </row>
    <row r="7" spans="1:7" customFormat="1" ht="15.75" hidden="1" thickBot="1">
      <c r="A7" t="s">
        <v>17</v>
      </c>
      <c r="B7" t="str">
        <f>"10673342243425686890"</f>
        <v>10673342243425686890</v>
      </c>
      <c r="C7" t="s">
        <v>18</v>
      </c>
      <c r="D7" t="s">
        <v>8</v>
      </c>
    </row>
    <row r="8" spans="1:7" customFormat="1" ht="15.75" hidden="1" thickBot="1">
      <c r="A8" t="s">
        <v>19</v>
      </c>
      <c r="B8" t="str">
        <f>"10673342243425686890"</f>
        <v>10673342243425686890</v>
      </c>
      <c r="C8" t="s">
        <v>20</v>
      </c>
      <c r="D8" t="s">
        <v>8</v>
      </c>
    </row>
    <row r="9" spans="1:7" customFormat="1" ht="15.75" hidden="1" thickBot="1">
      <c r="A9" t="s">
        <v>21</v>
      </c>
      <c r="B9" t="str">
        <f>"10673342243425686890"</f>
        <v>10673342243425686890</v>
      </c>
      <c r="C9" t="s">
        <v>22</v>
      </c>
      <c r="D9" t="s">
        <v>8</v>
      </c>
    </row>
    <row r="10" spans="1:7" customFormat="1" ht="15.75" hidden="1" thickBot="1">
      <c r="A10" t="s">
        <v>23</v>
      </c>
      <c r="B10" t="str">
        <f>"10673342243425685223"</f>
        <v>10673342243425685223</v>
      </c>
      <c r="C10" t="s">
        <v>24</v>
      </c>
      <c r="D10" t="s">
        <v>8</v>
      </c>
    </row>
    <row r="11" spans="1:7" customFormat="1" ht="15.75" hidden="1" thickBot="1">
      <c r="A11" t="s">
        <v>25</v>
      </c>
      <c r="B11" t="str">
        <f>"10673342243424643381"</f>
        <v>10673342243424643381</v>
      </c>
      <c r="C11" t="s">
        <v>26</v>
      </c>
      <c r="D11" t="s">
        <v>8</v>
      </c>
    </row>
    <row r="12" spans="1:7" customFormat="1" ht="15.75" hidden="1" thickBot="1">
      <c r="A12" t="s">
        <v>27</v>
      </c>
      <c r="B12" t="str">
        <f>"10673342243424781444"</f>
        <v>10673342243424781444</v>
      </c>
      <c r="C12" t="s">
        <v>28</v>
      </c>
      <c r="D12" t="s">
        <v>8</v>
      </c>
    </row>
    <row r="13" spans="1:7" customFormat="1" ht="15.75" hidden="1" thickBot="1">
      <c r="A13" t="s">
        <v>29</v>
      </c>
      <c r="B13" t="str">
        <f>"10673342243424781512"</f>
        <v>10673342243424781512</v>
      </c>
      <c r="C13" t="s">
        <v>30</v>
      </c>
      <c r="D13" t="s">
        <v>8</v>
      </c>
    </row>
    <row r="14" spans="1:7" customFormat="1" ht="15.75" hidden="1" thickBot="1">
      <c r="A14" t="s">
        <v>31</v>
      </c>
      <c r="B14" t="str">
        <f>"10673342243424643381"</f>
        <v>10673342243424643381</v>
      </c>
      <c r="C14" t="s">
        <v>26</v>
      </c>
      <c r="D14" t="s">
        <v>8</v>
      </c>
    </row>
    <row r="15" spans="1:7" customFormat="1" ht="15.75" hidden="1" thickBot="1">
      <c r="A15" t="s">
        <v>32</v>
      </c>
      <c r="B15" t="str">
        <f>"10673342243424781444"</f>
        <v>10673342243424781444</v>
      </c>
      <c r="C15" t="s">
        <v>28</v>
      </c>
      <c r="D15" t="s">
        <v>8</v>
      </c>
    </row>
    <row r="16" spans="1:7" customFormat="1" ht="15.75" hidden="1" thickBot="1">
      <c r="A16" t="s">
        <v>33</v>
      </c>
      <c r="B16" t="str">
        <f>"10673342243424781512"</f>
        <v>10673342243424781512</v>
      </c>
      <c r="C16" t="s">
        <v>30</v>
      </c>
      <c r="D16" t="s">
        <v>8</v>
      </c>
    </row>
    <row r="17" spans="1:4" customFormat="1" ht="15.75" hidden="1" thickBot="1">
      <c r="A17" t="s">
        <v>34</v>
      </c>
      <c r="B17" t="str">
        <f>"10673342243426255631"</f>
        <v>10673342243426255631</v>
      </c>
      <c r="C17" t="s">
        <v>35</v>
      </c>
      <c r="D17" t="s">
        <v>8</v>
      </c>
    </row>
    <row r="18" spans="1:4" customFormat="1" ht="15.75" hidden="1" thickBot="1">
      <c r="A18" t="s">
        <v>36</v>
      </c>
      <c r="B18" t="str">
        <f>"10673342243425751854"</f>
        <v>10673342243425751854</v>
      </c>
      <c r="C18" t="s">
        <v>16</v>
      </c>
      <c r="D18" t="s">
        <v>8</v>
      </c>
    </row>
    <row r="19" spans="1:4" customFormat="1" ht="15.75" hidden="1" thickBot="1">
      <c r="A19" t="s">
        <v>37</v>
      </c>
      <c r="B19" t="str">
        <f>"10673342243425686890"</f>
        <v>10673342243425686890</v>
      </c>
      <c r="C19" t="s">
        <v>18</v>
      </c>
      <c r="D19" t="s">
        <v>8</v>
      </c>
    </row>
    <row r="20" spans="1:4" customFormat="1" ht="15.75" hidden="1" thickBot="1">
      <c r="A20" t="s">
        <v>38</v>
      </c>
      <c r="B20" t="str">
        <f>"10673342243425686890"</f>
        <v>10673342243425686890</v>
      </c>
      <c r="C20" t="s">
        <v>20</v>
      </c>
      <c r="D20" t="s">
        <v>8</v>
      </c>
    </row>
    <row r="21" spans="1:4" customFormat="1" ht="15.75" hidden="1" thickBot="1">
      <c r="A21" t="s">
        <v>39</v>
      </c>
      <c r="B21" t="str">
        <f>"10673342243425685223"</f>
        <v>10673342243425685223</v>
      </c>
      <c r="C21" t="s">
        <v>24</v>
      </c>
      <c r="D21" t="s">
        <v>8</v>
      </c>
    </row>
    <row r="22" spans="1:4" customFormat="1" ht="15.75" hidden="1" thickBot="1">
      <c r="A22" t="s">
        <v>40</v>
      </c>
      <c r="B22" t="str">
        <f>"10673342243424643381"</f>
        <v>10673342243424643381</v>
      </c>
      <c r="C22" t="s">
        <v>26</v>
      </c>
      <c r="D22" t="s">
        <v>8</v>
      </c>
    </row>
    <row r="23" spans="1:4" customFormat="1" ht="15.75" hidden="1" thickBot="1">
      <c r="A23" t="s">
        <v>41</v>
      </c>
      <c r="B23" t="str">
        <f>"10673342243424781444"</f>
        <v>10673342243424781444</v>
      </c>
      <c r="C23" t="s">
        <v>28</v>
      </c>
      <c r="D23" t="s">
        <v>8</v>
      </c>
    </row>
    <row r="24" spans="1:4" customFormat="1" ht="15.75" hidden="1" thickBot="1">
      <c r="A24" t="s">
        <v>42</v>
      </c>
      <c r="B24" t="str">
        <f>"10673342243424781512"</f>
        <v>10673342243424781512</v>
      </c>
      <c r="C24" t="s">
        <v>30</v>
      </c>
      <c r="D24" t="s">
        <v>8</v>
      </c>
    </row>
    <row r="25" spans="1:4" customFormat="1" ht="15.75" hidden="1" thickBot="1">
      <c r="A25" t="s">
        <v>43</v>
      </c>
      <c r="B25" t="str">
        <f>"10673342243423015778"</f>
        <v>10673342243423015778</v>
      </c>
      <c r="C25" t="s">
        <v>44</v>
      </c>
      <c r="D25" t="s">
        <v>8</v>
      </c>
    </row>
    <row r="26" spans="1:4" customFormat="1" ht="15.75" hidden="1" thickBot="1">
      <c r="A26" t="s">
        <v>45</v>
      </c>
      <c r="B26" t="str">
        <f>"10673342243423046721"</f>
        <v>10673342243423046721</v>
      </c>
      <c r="C26" t="s">
        <v>46</v>
      </c>
      <c r="D26" t="s">
        <v>8</v>
      </c>
    </row>
    <row r="27" spans="1:4" customFormat="1" ht="15.75" hidden="1" thickBot="1">
      <c r="A27" t="s">
        <v>47</v>
      </c>
      <c r="B27" t="str">
        <f>"10673342243423673856"</f>
        <v>10673342243423673856</v>
      </c>
      <c r="C27" t="s">
        <v>48</v>
      </c>
      <c r="D27" t="s">
        <v>8</v>
      </c>
    </row>
    <row r="28" spans="1:4" customFormat="1" ht="15.75" hidden="1" thickBot="1">
      <c r="A28" t="s">
        <v>49</v>
      </c>
      <c r="B28" t="str">
        <f>"10673342243426255631"</f>
        <v>10673342243426255631</v>
      </c>
      <c r="C28" t="s">
        <v>35</v>
      </c>
      <c r="D28" t="s">
        <v>8</v>
      </c>
    </row>
    <row r="29" spans="1:4" customFormat="1" ht="15.75" hidden="1" thickBot="1">
      <c r="A29" t="s">
        <v>50</v>
      </c>
      <c r="B29" t="str">
        <f>"10673342243423467156"</f>
        <v>10673342243423467156</v>
      </c>
      <c r="C29" t="s">
        <v>51</v>
      </c>
      <c r="D29" t="s">
        <v>8</v>
      </c>
    </row>
    <row r="30" spans="1:4" customFormat="1" ht="15.75" hidden="1" thickBot="1">
      <c r="A30" t="s">
        <v>52</v>
      </c>
      <c r="B30" t="str">
        <f>"10673342243418690004"</f>
        <v>10673342243418690004</v>
      </c>
      <c r="C30" t="s">
        <v>53</v>
      </c>
      <c r="D30" t="s">
        <v>8</v>
      </c>
    </row>
    <row r="31" spans="1:4" customFormat="1" ht="15.75" hidden="1" thickBot="1">
      <c r="A31" t="s">
        <v>54</v>
      </c>
      <c r="B31" t="str">
        <f>"10673342243419049620"</f>
        <v>10673342243419049620</v>
      </c>
      <c r="C31" t="s">
        <v>55</v>
      </c>
      <c r="D31" t="s">
        <v>8</v>
      </c>
    </row>
    <row r="32" spans="1:4" customFormat="1" ht="15.75" hidden="1" thickBot="1">
      <c r="A32" t="s">
        <v>56</v>
      </c>
      <c r="B32" t="str">
        <f>"10673342243419050130"</f>
        <v>10673342243419050130</v>
      </c>
      <c r="C32" t="s">
        <v>57</v>
      </c>
      <c r="D32" t="s">
        <v>8</v>
      </c>
    </row>
    <row r="33" spans="1:4" customFormat="1" ht="15.75" hidden="1" thickBot="1">
      <c r="A33" t="s">
        <v>58</v>
      </c>
      <c r="B33" t="str">
        <f>"10673342243418926814"</f>
        <v>10673342243418926814</v>
      </c>
      <c r="C33" t="s">
        <v>59</v>
      </c>
      <c r="D33" t="s">
        <v>8</v>
      </c>
    </row>
    <row r="34" spans="1:4" customFormat="1" ht="15.75" hidden="1" thickBot="1">
      <c r="A34" t="s">
        <v>60</v>
      </c>
      <c r="B34" t="str">
        <f>"10673342243419050130"</f>
        <v>10673342243419050130</v>
      </c>
      <c r="C34" t="s">
        <v>57</v>
      </c>
      <c r="D34" t="s">
        <v>8</v>
      </c>
    </row>
    <row r="35" spans="1:4" customFormat="1" ht="15.75" hidden="1" thickBot="1">
      <c r="A35" t="s">
        <v>61</v>
      </c>
      <c r="B35" t="str">
        <f>"10673342243418891220"</f>
        <v>10673342243418891220</v>
      </c>
      <c r="C35" t="s">
        <v>62</v>
      </c>
      <c r="D35" t="s">
        <v>8</v>
      </c>
    </row>
    <row r="36" spans="1:4" customFormat="1" ht="15.75" hidden="1" thickBot="1">
      <c r="A36" t="s">
        <v>63</v>
      </c>
      <c r="B36" t="str">
        <f>"10673342243421438078"</f>
        <v>10673342243421438078</v>
      </c>
      <c r="C36" t="s">
        <v>64</v>
      </c>
      <c r="D36" t="s">
        <v>8</v>
      </c>
    </row>
    <row r="37" spans="1:4" customFormat="1" ht="15.75" hidden="1" thickBot="1">
      <c r="A37" t="s">
        <v>65</v>
      </c>
      <c r="B37" t="str">
        <f>"10673342243421633571"</f>
        <v>10673342243421633571</v>
      </c>
      <c r="C37" t="s">
        <v>66</v>
      </c>
      <c r="D37" t="s">
        <v>8</v>
      </c>
    </row>
    <row r="38" spans="1:4" customFormat="1" ht="15.75" hidden="1" thickBot="1">
      <c r="A38" t="s">
        <v>67</v>
      </c>
      <c r="B38" t="str">
        <f>"10673342243421942159"</f>
        <v>10673342243421942159</v>
      </c>
      <c r="C38" t="s">
        <v>68</v>
      </c>
      <c r="D38" t="s">
        <v>8</v>
      </c>
    </row>
    <row r="39" spans="1:4" customFormat="1" ht="15.75" hidden="1" thickBot="1">
      <c r="A39" t="s">
        <v>69</v>
      </c>
      <c r="B39" t="str">
        <f>"10673342243426238867"</f>
        <v>10673342243426238867</v>
      </c>
      <c r="C39" t="s">
        <v>70</v>
      </c>
      <c r="D39" t="s">
        <v>8</v>
      </c>
    </row>
    <row r="40" spans="1:4" customFormat="1" ht="15.75" hidden="1" thickBot="1">
      <c r="A40" t="s">
        <v>71</v>
      </c>
      <c r="B40" t="str">
        <f>"10673342243419593681"</f>
        <v>10673342243419593681</v>
      </c>
      <c r="C40" t="s">
        <v>72</v>
      </c>
      <c r="D40" t="s">
        <v>8</v>
      </c>
    </row>
    <row r="41" spans="1:4" customFormat="1" ht="15.75" hidden="1" thickBot="1">
      <c r="A41" t="s">
        <v>73</v>
      </c>
      <c r="B41" t="str">
        <f>"10673342243419357538"</f>
        <v>10673342243419357538</v>
      </c>
      <c r="C41" t="s">
        <v>74</v>
      </c>
      <c r="D41" t="s">
        <v>8</v>
      </c>
    </row>
    <row r="42" spans="1:4" customFormat="1" ht="15.75" hidden="1" thickBot="1">
      <c r="A42" t="s">
        <v>75</v>
      </c>
      <c r="B42" t="str">
        <f>"10673342243419324591"</f>
        <v>10673342243419324591</v>
      </c>
      <c r="C42" t="s">
        <v>76</v>
      </c>
      <c r="D42" t="s">
        <v>8</v>
      </c>
    </row>
    <row r="43" spans="1:4" customFormat="1" ht="15.75" hidden="1" thickBot="1">
      <c r="A43" t="s">
        <v>77</v>
      </c>
      <c r="B43" t="str">
        <f>"10673342243420008517"</f>
        <v>10673342243420008517</v>
      </c>
      <c r="C43" t="s">
        <v>78</v>
      </c>
      <c r="D43" t="s">
        <v>8</v>
      </c>
    </row>
    <row r="44" spans="1:4" customFormat="1" ht="15.75" hidden="1" thickBot="1">
      <c r="A44" t="s">
        <v>79</v>
      </c>
      <c r="B44" t="str">
        <f>"10673342243419769909"</f>
        <v>10673342243419769909</v>
      </c>
      <c r="C44" t="s">
        <v>80</v>
      </c>
      <c r="D44" t="s">
        <v>8</v>
      </c>
    </row>
    <row r="45" spans="1:4" customFormat="1" ht="15.75" hidden="1" thickBot="1">
      <c r="A45" t="s">
        <v>81</v>
      </c>
      <c r="B45" t="str">
        <f>"10673342243420442398"</f>
        <v>10673342243420442398</v>
      </c>
      <c r="C45" t="s">
        <v>82</v>
      </c>
      <c r="D45" t="s">
        <v>8</v>
      </c>
    </row>
    <row r="46" spans="1:4" customFormat="1" ht="15.75" hidden="1" thickBot="1">
      <c r="A46" t="s">
        <v>83</v>
      </c>
      <c r="B46" t="str">
        <f>"10673342243420948420"</f>
        <v>10673342243420948420</v>
      </c>
      <c r="C46" t="s">
        <v>84</v>
      </c>
      <c r="D46" t="s">
        <v>8</v>
      </c>
    </row>
    <row r="47" spans="1:4" customFormat="1" ht="15.75" hidden="1" thickBot="1">
      <c r="A47" t="s">
        <v>85</v>
      </c>
      <c r="B47" t="str">
        <f>"10673342243420688399"</f>
        <v>10673342243420688399</v>
      </c>
      <c r="C47" t="s">
        <v>86</v>
      </c>
      <c r="D47" t="s">
        <v>8</v>
      </c>
    </row>
    <row r="48" spans="1:4" customFormat="1" ht="15.75" hidden="1" thickBot="1">
      <c r="A48" t="s">
        <v>87</v>
      </c>
      <c r="B48" t="str">
        <f>"10673342243420614549"</f>
        <v>10673342243420614549</v>
      </c>
      <c r="C48" t="s">
        <v>88</v>
      </c>
      <c r="D48" t="s">
        <v>8</v>
      </c>
    </row>
    <row r="49" spans="1:4" customFormat="1" ht="15.75" hidden="1" thickBot="1">
      <c r="A49" t="s">
        <v>89</v>
      </c>
      <c r="B49" t="str">
        <f>"10673342243416818151"</f>
        <v>10673342243416818151</v>
      </c>
      <c r="C49" t="s">
        <v>90</v>
      </c>
      <c r="D49" t="s">
        <v>8</v>
      </c>
    </row>
    <row r="50" spans="1:4" customFormat="1" ht="15.75" hidden="1" thickBot="1">
      <c r="A50" t="s">
        <v>91</v>
      </c>
      <c r="B50" t="str">
        <f>"10673342243426110216"</f>
        <v>10673342243426110216</v>
      </c>
      <c r="C50" t="s">
        <v>92</v>
      </c>
      <c r="D50" t="s">
        <v>8</v>
      </c>
    </row>
    <row r="51" spans="1:4" customFormat="1" ht="15.75" hidden="1" thickBot="1">
      <c r="A51" t="s">
        <v>93</v>
      </c>
      <c r="B51" t="str">
        <f>"10673342243416742317"</f>
        <v>10673342243416742317</v>
      </c>
      <c r="C51" t="s">
        <v>94</v>
      </c>
      <c r="D51" t="s">
        <v>8</v>
      </c>
    </row>
    <row r="52" spans="1:4" customFormat="1" ht="15.75" hidden="1" thickBot="1">
      <c r="A52" t="s">
        <v>95</v>
      </c>
      <c r="B52" t="str">
        <f>"10673342243417171135"</f>
        <v>10673342243417171135</v>
      </c>
      <c r="C52" t="s">
        <v>96</v>
      </c>
      <c r="D52" t="s">
        <v>8</v>
      </c>
    </row>
    <row r="53" spans="1:4" customFormat="1" ht="15.75" hidden="1" thickBot="1">
      <c r="A53" t="s">
        <v>97</v>
      </c>
      <c r="B53" t="str">
        <f>"10673342243417533487"</f>
        <v>10673342243417533487</v>
      </c>
      <c r="C53" t="s">
        <v>98</v>
      </c>
      <c r="D53" t="s">
        <v>8</v>
      </c>
    </row>
    <row r="54" spans="1:4" customFormat="1" ht="15.75" hidden="1" thickBot="1">
      <c r="A54" t="s">
        <v>99</v>
      </c>
      <c r="B54" t="str">
        <f>"10673342243417506943"</f>
        <v>10673342243417506943</v>
      </c>
      <c r="C54" t="s">
        <v>100</v>
      </c>
      <c r="D54" t="s">
        <v>8</v>
      </c>
    </row>
    <row r="55" spans="1:4" customFormat="1" ht="15.75" hidden="1" thickBot="1">
      <c r="A55" t="s">
        <v>101</v>
      </c>
      <c r="B55" t="str">
        <f>"10673342243417506943"</f>
        <v>10673342243417506943</v>
      </c>
      <c r="C55" t="s">
        <v>100</v>
      </c>
      <c r="D55" t="s">
        <v>8</v>
      </c>
    </row>
    <row r="56" spans="1:4" customFormat="1" ht="15.75" hidden="1" thickBot="1">
      <c r="A56" t="s">
        <v>102</v>
      </c>
      <c r="B56" t="str">
        <f>"10673342243418152109"</f>
        <v>10673342243418152109</v>
      </c>
      <c r="C56" t="s">
        <v>103</v>
      </c>
      <c r="D56" t="s">
        <v>8</v>
      </c>
    </row>
    <row r="57" spans="1:4" customFormat="1" ht="15.75" hidden="1" thickBot="1">
      <c r="A57" t="s">
        <v>104</v>
      </c>
      <c r="B57" t="str">
        <f>"10673342243417929674"</f>
        <v>10673342243417929674</v>
      </c>
      <c r="C57" t="s">
        <v>105</v>
      </c>
      <c r="D57" t="s">
        <v>8</v>
      </c>
    </row>
    <row r="58" spans="1:4" customFormat="1" ht="15.75" hidden="1" thickBot="1">
      <c r="A58" t="s">
        <v>106</v>
      </c>
      <c r="B58" t="str">
        <f>"10673342243418556170"</f>
        <v>10673342243418556170</v>
      </c>
      <c r="C58" t="s">
        <v>107</v>
      </c>
      <c r="D58" t="s">
        <v>8</v>
      </c>
    </row>
    <row r="59" spans="1:4" customFormat="1" ht="15.75" hidden="1" thickBot="1">
      <c r="A59" t="s">
        <v>108</v>
      </c>
      <c r="B59" t="str">
        <f>"10673342243418466937"</f>
        <v>10673342243418466937</v>
      </c>
      <c r="C59" t="s">
        <v>109</v>
      </c>
      <c r="D59" t="s">
        <v>8</v>
      </c>
    </row>
    <row r="60" spans="1:4" customFormat="1" ht="15.75" hidden="1" thickBot="1">
      <c r="A60" t="s">
        <v>110</v>
      </c>
      <c r="B60" t="str">
        <f>"10673342243418357542"</f>
        <v>10673342243418357542</v>
      </c>
      <c r="C60" t="s">
        <v>111</v>
      </c>
      <c r="D60" t="s">
        <v>8</v>
      </c>
    </row>
    <row r="61" spans="1:4" customFormat="1" ht="15.75" hidden="1" thickBot="1">
      <c r="A61" t="s">
        <v>112</v>
      </c>
      <c r="B61" t="str">
        <f>"10673342243426064184"</f>
        <v>10673342243426064184</v>
      </c>
      <c r="C61" t="s">
        <v>113</v>
      </c>
      <c r="D61" t="s">
        <v>8</v>
      </c>
    </row>
    <row r="62" spans="1:4" customFormat="1" ht="15.75" hidden="1" thickBot="1">
      <c r="A62" t="s">
        <v>114</v>
      </c>
      <c r="B62" t="str">
        <f>"10673342243414976140"</f>
        <v>10673342243414976140</v>
      </c>
      <c r="C62" t="s">
        <v>115</v>
      </c>
      <c r="D62" t="s">
        <v>8</v>
      </c>
    </row>
    <row r="63" spans="1:4" customFormat="1" ht="15.75" hidden="1" thickBot="1">
      <c r="A63" t="s">
        <v>116</v>
      </c>
      <c r="B63" t="str">
        <f>"10673342243416068608"</f>
        <v>10673342243416068608</v>
      </c>
      <c r="C63" t="s">
        <v>117</v>
      </c>
      <c r="D63" t="s">
        <v>8</v>
      </c>
    </row>
    <row r="64" spans="1:4" customFormat="1" ht="15.75" hidden="1" thickBot="1">
      <c r="A64" t="s">
        <v>118</v>
      </c>
      <c r="B64" t="str">
        <f>"10673342243415929693"</f>
        <v>10673342243415929693</v>
      </c>
      <c r="C64" t="s">
        <v>119</v>
      </c>
      <c r="D64" t="s">
        <v>8</v>
      </c>
    </row>
    <row r="65" spans="1:4" customFormat="1" ht="15.75" hidden="1" thickBot="1">
      <c r="A65" t="s">
        <v>120</v>
      </c>
      <c r="B65" t="str">
        <f>"10673342243415868287"</f>
        <v>10673342243415868287</v>
      </c>
      <c r="C65" t="s">
        <v>121</v>
      </c>
      <c r="D65" t="s">
        <v>8</v>
      </c>
    </row>
    <row r="66" spans="1:4" customFormat="1" ht="15.75" hidden="1" thickBot="1">
      <c r="A66" t="s">
        <v>122</v>
      </c>
      <c r="B66" t="str">
        <f>"10673342243416589896"</f>
        <v>10673342243416589896</v>
      </c>
      <c r="C66" t="s">
        <v>123</v>
      </c>
      <c r="D66" t="s">
        <v>8</v>
      </c>
    </row>
    <row r="67" spans="1:4" customFormat="1" ht="15.75" hidden="1" thickBot="1">
      <c r="A67" t="s">
        <v>124</v>
      </c>
      <c r="B67" t="str">
        <f>"10673342243413324654"</f>
        <v>10673342243413324654</v>
      </c>
      <c r="C67" t="s">
        <v>125</v>
      </c>
      <c r="D67" t="s">
        <v>8</v>
      </c>
    </row>
    <row r="68" spans="1:4" customFormat="1" ht="15.75" hidden="1" thickBot="1">
      <c r="A68" t="s">
        <v>126</v>
      </c>
      <c r="B68" t="str">
        <f>"10673342243413324433"</f>
        <v>10673342243413324433</v>
      </c>
      <c r="C68" t="s">
        <v>127</v>
      </c>
      <c r="D68" t="s">
        <v>8</v>
      </c>
    </row>
    <row r="69" spans="1:4" customFormat="1" ht="15.75" hidden="1" thickBot="1">
      <c r="A69" t="s">
        <v>128</v>
      </c>
      <c r="B69" t="str">
        <f>"10673342243413208310"</f>
        <v>10673342243413208310</v>
      </c>
      <c r="C69" t="s">
        <v>129</v>
      </c>
      <c r="D69" t="s">
        <v>8</v>
      </c>
    </row>
    <row r="70" spans="1:4" customFormat="1" ht="15.75" hidden="1" thickBot="1">
      <c r="A70" t="s">
        <v>130</v>
      </c>
      <c r="B70" t="str">
        <f>"10673342243413763917"</f>
        <v>10673342243413763917</v>
      </c>
      <c r="C70" t="s">
        <v>131</v>
      </c>
      <c r="D70" t="s">
        <v>8</v>
      </c>
    </row>
    <row r="71" spans="1:4" customFormat="1" ht="15.75" hidden="1" thickBot="1">
      <c r="A71" t="s">
        <v>132</v>
      </c>
      <c r="B71" t="str">
        <f>"10673342243413725063"</f>
        <v>10673342243413725063</v>
      </c>
      <c r="C71" t="s">
        <v>133</v>
      </c>
      <c r="D71" t="s">
        <v>8</v>
      </c>
    </row>
    <row r="72" spans="1:4" customFormat="1" ht="15.75" hidden="1" thickBot="1">
      <c r="A72" t="s">
        <v>134</v>
      </c>
      <c r="B72" t="str">
        <f>"10673342243426064184"</f>
        <v>10673342243426064184</v>
      </c>
      <c r="C72" t="s">
        <v>113</v>
      </c>
      <c r="D72" t="s">
        <v>8</v>
      </c>
    </row>
    <row r="73" spans="1:4" customFormat="1" ht="15.75" hidden="1" thickBot="1">
      <c r="A73" t="s">
        <v>135</v>
      </c>
      <c r="B73" t="str">
        <f>"10673342243413518866"</f>
        <v>10673342243413518866</v>
      </c>
      <c r="C73" t="s">
        <v>136</v>
      </c>
      <c r="D73" t="s">
        <v>8</v>
      </c>
    </row>
    <row r="74" spans="1:4" customFormat="1" ht="15.75" hidden="1" thickBot="1">
      <c r="A74" t="s">
        <v>137</v>
      </c>
      <c r="B74" t="str">
        <f>"10673342243413615616"</f>
        <v>10673342243413615616</v>
      </c>
      <c r="C74" t="s">
        <v>138</v>
      </c>
      <c r="D74" t="s">
        <v>8</v>
      </c>
    </row>
    <row r="75" spans="1:4" customFormat="1" ht="15.75" hidden="1" thickBot="1">
      <c r="A75" t="s">
        <v>139</v>
      </c>
      <c r="B75" t="str">
        <f>"10673342243413472369"</f>
        <v>10673342243413472369</v>
      </c>
      <c r="C75" t="s">
        <v>140</v>
      </c>
      <c r="D75" t="s">
        <v>8</v>
      </c>
    </row>
    <row r="76" spans="1:4" customFormat="1" ht="15.75" hidden="1" thickBot="1">
      <c r="A76" t="s">
        <v>141</v>
      </c>
      <c r="B76" t="str">
        <f>"10673342243413373302"</f>
        <v>10673342243413373302</v>
      </c>
      <c r="C76" t="s">
        <v>142</v>
      </c>
      <c r="D76" t="s">
        <v>8</v>
      </c>
    </row>
    <row r="77" spans="1:4" customFormat="1" ht="15.75" hidden="1" thickBot="1">
      <c r="A77" t="s">
        <v>143</v>
      </c>
      <c r="B77" t="str">
        <f>"10673342243413337903"</f>
        <v>10673342243413337903</v>
      </c>
      <c r="C77" t="s">
        <v>144</v>
      </c>
      <c r="D77" t="s">
        <v>8</v>
      </c>
    </row>
    <row r="78" spans="1:4" customFormat="1" ht="15.75" hidden="1" thickBot="1">
      <c r="A78" t="s">
        <v>145</v>
      </c>
      <c r="B78" t="str">
        <f>"10673342243414066705"</f>
        <v>10673342243414066705</v>
      </c>
      <c r="C78" t="s">
        <v>146</v>
      </c>
      <c r="D78" t="s">
        <v>8</v>
      </c>
    </row>
    <row r="79" spans="1:4" customFormat="1" ht="15.75" hidden="1" thickBot="1">
      <c r="A79" t="s">
        <v>147</v>
      </c>
      <c r="B79" t="str">
        <f>"10673342243414892753"</f>
        <v>10673342243414892753</v>
      </c>
      <c r="C79" t="s">
        <v>148</v>
      </c>
      <c r="D79" t="s">
        <v>8</v>
      </c>
    </row>
    <row r="80" spans="1:4" customFormat="1" ht="15.75" hidden="1" thickBot="1">
      <c r="A80" t="s">
        <v>149</v>
      </c>
      <c r="B80" t="str">
        <f>"10673342243414734910"</f>
        <v>10673342243414734910</v>
      </c>
      <c r="C80" t="s">
        <v>150</v>
      </c>
      <c r="D80" t="s">
        <v>8</v>
      </c>
    </row>
    <row r="81" spans="1:4" customFormat="1" ht="15.75" hidden="1" thickBot="1">
      <c r="A81" t="s">
        <v>151</v>
      </c>
      <c r="B81" t="str">
        <f>"10673342243414628169"</f>
        <v>10673342243414628169</v>
      </c>
      <c r="C81" t="s">
        <v>152</v>
      </c>
      <c r="D81" t="s">
        <v>8</v>
      </c>
    </row>
    <row r="82" spans="1:4" customFormat="1" ht="15.75" hidden="1" thickBot="1">
      <c r="A82" t="s">
        <v>153</v>
      </c>
      <c r="B82" t="str">
        <f>"10673342243414596819"</f>
        <v>10673342243414596819</v>
      </c>
      <c r="C82" t="s">
        <v>154</v>
      </c>
      <c r="D82" t="s">
        <v>8</v>
      </c>
    </row>
    <row r="83" spans="1:4" customFormat="1" ht="15.75" hidden="1" thickBot="1">
      <c r="A83" t="s">
        <v>155</v>
      </c>
      <c r="B83" t="str">
        <f>"10673342243426064184"</f>
        <v>10673342243426064184</v>
      </c>
      <c r="C83" t="s">
        <v>113</v>
      </c>
      <c r="D83" t="s">
        <v>8</v>
      </c>
    </row>
    <row r="84" spans="1:4" customFormat="1" ht="15.75" hidden="1" thickBot="1">
      <c r="A84" t="s">
        <v>156</v>
      </c>
      <c r="B84" t="str">
        <f>"10673342243414497471"</f>
        <v>10673342243414497471</v>
      </c>
      <c r="C84" t="s">
        <v>157</v>
      </c>
      <c r="D84" t="s">
        <v>8</v>
      </c>
    </row>
    <row r="85" spans="1:4" customFormat="1" ht="15.75" hidden="1" thickBot="1">
      <c r="A85" t="s">
        <v>158</v>
      </c>
      <c r="B85" t="str">
        <f>"10673342243414487336"</f>
        <v>10673342243414487336</v>
      </c>
      <c r="C85" t="s">
        <v>159</v>
      </c>
      <c r="D85" t="s">
        <v>8</v>
      </c>
    </row>
    <row r="86" spans="1:4" customFormat="1" ht="15.75" hidden="1" thickBot="1">
      <c r="A86" t="s">
        <v>160</v>
      </c>
      <c r="B86" t="str">
        <f>"10673342243414484280"</f>
        <v>10673342243414484280</v>
      </c>
      <c r="C86" t="s">
        <v>161</v>
      </c>
      <c r="D86" t="s">
        <v>8</v>
      </c>
    </row>
    <row r="87" spans="1:4" customFormat="1" ht="15.75" hidden="1" thickBot="1">
      <c r="A87" t="s">
        <v>162</v>
      </c>
      <c r="B87" t="str">
        <f>"10673342243414466894"</f>
        <v>10673342243414466894</v>
      </c>
      <c r="C87" t="s">
        <v>163</v>
      </c>
      <c r="D87" t="s">
        <v>8</v>
      </c>
    </row>
    <row r="88" spans="1:4" customFormat="1" ht="15.75" hidden="1" thickBot="1">
      <c r="A88" t="s">
        <v>164</v>
      </c>
      <c r="B88" t="str">
        <f>"10673342243414426884"</f>
        <v>10673342243414426884</v>
      </c>
      <c r="C88" t="s">
        <v>165</v>
      </c>
      <c r="D88" t="s">
        <v>8</v>
      </c>
    </row>
    <row r="89" spans="1:4" customFormat="1" ht="15.75" hidden="1" thickBot="1">
      <c r="A89" t="s">
        <v>166</v>
      </c>
      <c r="B89" t="str">
        <f>"10673342243409857813"</f>
        <v>10673342243409857813</v>
      </c>
      <c r="C89" t="s">
        <v>167</v>
      </c>
      <c r="D89" t="s">
        <v>8</v>
      </c>
    </row>
    <row r="90" spans="1:4" customFormat="1" ht="15.75" hidden="1" thickBot="1">
      <c r="A90" t="s">
        <v>168</v>
      </c>
      <c r="B90" t="str">
        <f>"10673342243411379222"</f>
        <v>10673342243411379222</v>
      </c>
      <c r="C90" t="s">
        <v>169</v>
      </c>
      <c r="D90" t="s">
        <v>8</v>
      </c>
    </row>
    <row r="91" spans="1:4" customFormat="1" ht="15.75" hidden="1" thickBot="1">
      <c r="A91" t="s">
        <v>170</v>
      </c>
      <c r="B91" t="str">
        <f>"10673342243411355455"</f>
        <v>10673342243411355455</v>
      </c>
      <c r="C91" t="s">
        <v>171</v>
      </c>
      <c r="D91" t="s">
        <v>8</v>
      </c>
    </row>
    <row r="92" spans="1:4" customFormat="1" ht="15.75" hidden="1" thickBot="1">
      <c r="A92" t="s">
        <v>172</v>
      </c>
      <c r="B92" t="str">
        <f>"10673342243411323782"</f>
        <v>10673342243411323782</v>
      </c>
      <c r="C92" t="s">
        <v>173</v>
      </c>
      <c r="D92" t="s">
        <v>8</v>
      </c>
    </row>
    <row r="93" spans="1:4" customFormat="1" ht="15.75" hidden="1" thickBot="1">
      <c r="A93" t="s">
        <v>174</v>
      </c>
      <c r="B93" t="str">
        <f>"10673342243411562299"</f>
        <v>10673342243411562299</v>
      </c>
      <c r="C93" t="s">
        <v>175</v>
      </c>
      <c r="D93" t="s">
        <v>8</v>
      </c>
    </row>
    <row r="94" spans="1:4" customFormat="1" ht="15.75" hidden="1" thickBot="1">
      <c r="A94" t="s">
        <v>176</v>
      </c>
      <c r="B94" t="str">
        <f>"10673342243411542085"</f>
        <v>10673342243411542085</v>
      </c>
      <c r="C94" t="s">
        <v>177</v>
      </c>
      <c r="D94" t="s">
        <v>8</v>
      </c>
    </row>
    <row r="95" spans="1:4" customFormat="1" ht="15.75" hidden="1" thickBot="1">
      <c r="A95" t="s">
        <v>178</v>
      </c>
      <c r="B95" t="str">
        <f>"10673342243411542085"</f>
        <v>10673342243411542085</v>
      </c>
      <c r="C95" t="s">
        <v>177</v>
      </c>
      <c r="D95" t="s">
        <v>8</v>
      </c>
    </row>
    <row r="96" spans="1:4" customFormat="1" ht="15.75" hidden="1" thickBot="1">
      <c r="A96" t="s">
        <v>179</v>
      </c>
      <c r="B96" t="str">
        <f>"10673342243411540848"</f>
        <v>10673342243411540848</v>
      </c>
      <c r="C96" t="s">
        <v>180</v>
      </c>
      <c r="D96" t="s">
        <v>8</v>
      </c>
    </row>
    <row r="97" spans="1:4" customFormat="1" ht="15.75" hidden="1" thickBot="1">
      <c r="A97" t="s">
        <v>181</v>
      </c>
      <c r="B97" t="str">
        <f>"10673342243411501591"</f>
        <v>10673342243411501591</v>
      </c>
      <c r="C97" t="s">
        <v>182</v>
      </c>
      <c r="D97" t="s">
        <v>8</v>
      </c>
    </row>
    <row r="98" spans="1:4" customFormat="1" ht="15.75" hidden="1" thickBot="1">
      <c r="A98" t="s">
        <v>183</v>
      </c>
      <c r="B98" t="str">
        <f>"10673342243412895666"</f>
        <v>10673342243412895666</v>
      </c>
      <c r="C98" t="s">
        <v>184</v>
      </c>
      <c r="D98" t="s">
        <v>8</v>
      </c>
    </row>
    <row r="99" spans="1:4" customFormat="1" ht="15.75" hidden="1" thickBot="1">
      <c r="A99" t="s">
        <v>185</v>
      </c>
      <c r="B99" t="str">
        <f>"10673342243409099102"</f>
        <v>10673342243409099102</v>
      </c>
      <c r="C99" t="s">
        <v>186</v>
      </c>
      <c r="D99" t="s">
        <v>8</v>
      </c>
    </row>
    <row r="100" spans="1:4" customFormat="1" ht="15.75" hidden="1" thickBot="1">
      <c r="A100" t="s">
        <v>187</v>
      </c>
      <c r="B100" t="str">
        <f>"10673342243409000394"</f>
        <v>10673342243409000394</v>
      </c>
      <c r="C100" t="s">
        <v>188</v>
      </c>
      <c r="D100" t="s">
        <v>8</v>
      </c>
    </row>
    <row r="101" spans="1:4" customFormat="1" ht="15.75" hidden="1" thickBot="1">
      <c r="A101" t="s">
        <v>189</v>
      </c>
      <c r="B101" t="str">
        <f>"10673342243409658799"</f>
        <v>10673342243409658799</v>
      </c>
      <c r="C101" t="s">
        <v>190</v>
      </c>
      <c r="D101" t="s">
        <v>8</v>
      </c>
    </row>
    <row r="102" spans="1:4" customFormat="1" ht="15.75" hidden="1" thickBot="1">
      <c r="A102" t="s">
        <v>191</v>
      </c>
      <c r="B102" t="str">
        <f>"10673342243409427894"</f>
        <v>10673342243409427894</v>
      </c>
      <c r="C102" t="s">
        <v>192</v>
      </c>
      <c r="D102" t="s">
        <v>8</v>
      </c>
    </row>
    <row r="103" spans="1:4" customFormat="1" ht="15.75" hidden="1" thickBot="1">
      <c r="A103" t="s">
        <v>193</v>
      </c>
      <c r="B103" t="str">
        <f>"10673342243409366372"</f>
        <v>10673342243409366372</v>
      </c>
      <c r="C103" t="s">
        <v>194</v>
      </c>
      <c r="D103" t="s">
        <v>8</v>
      </c>
    </row>
    <row r="104" spans="1:4" customFormat="1" ht="15.75" hidden="1" thickBot="1">
      <c r="A104" t="s">
        <v>195</v>
      </c>
      <c r="B104" t="str">
        <f>"10673342243409375851"</f>
        <v>10673342243409375851</v>
      </c>
      <c r="C104" t="s">
        <v>196</v>
      </c>
      <c r="D104" t="s">
        <v>8</v>
      </c>
    </row>
    <row r="105" spans="1:4" customFormat="1" ht="15.75" hidden="1" thickBot="1">
      <c r="A105" t="s">
        <v>197</v>
      </c>
      <c r="B105" t="str">
        <f>"10673342243410269121"</f>
        <v>10673342243410269121</v>
      </c>
      <c r="C105" t="s">
        <v>198</v>
      </c>
      <c r="D105" t="s">
        <v>8</v>
      </c>
    </row>
    <row r="106" spans="1:4" customFormat="1" ht="15.75" hidden="1" thickBot="1">
      <c r="A106" t="s">
        <v>199</v>
      </c>
      <c r="B106" t="str">
        <f>"10673342243410230543"</f>
        <v>10673342243410230543</v>
      </c>
      <c r="C106" t="s">
        <v>200</v>
      </c>
      <c r="D106" t="s">
        <v>8</v>
      </c>
    </row>
    <row r="107" spans="1:4" customFormat="1" ht="15.75" hidden="1" thickBot="1">
      <c r="A107" t="s">
        <v>201</v>
      </c>
      <c r="B107" t="str">
        <f>"10673342243410070525"</f>
        <v>10673342243410070525</v>
      </c>
      <c r="C107" t="s">
        <v>202</v>
      </c>
      <c r="D107" t="s">
        <v>8</v>
      </c>
    </row>
    <row r="108" spans="1:4" customFormat="1" ht="15.75" hidden="1" thickBot="1">
      <c r="A108" t="s">
        <v>203</v>
      </c>
      <c r="B108" t="str">
        <f>"10673342243409941091"</f>
        <v>10673342243409941091</v>
      </c>
      <c r="C108" t="s">
        <v>204</v>
      </c>
      <c r="D108" t="s">
        <v>8</v>
      </c>
    </row>
    <row r="109" spans="1:4" customFormat="1" ht="15.75" hidden="1" thickBot="1">
      <c r="A109" t="s">
        <v>205</v>
      </c>
      <c r="B109" t="str">
        <f>"10673342243410808898"</f>
        <v>10673342243410808898</v>
      </c>
      <c r="C109" t="s">
        <v>206</v>
      </c>
      <c r="D109" t="s">
        <v>8</v>
      </c>
    </row>
    <row r="110" spans="1:4" customFormat="1" ht="15.75" hidden="1" thickBot="1">
      <c r="A110" t="s">
        <v>207</v>
      </c>
      <c r="B110" t="str">
        <f>"10673342243407282511"</f>
        <v>10673342243407282511</v>
      </c>
      <c r="C110" t="s">
        <v>208</v>
      </c>
      <c r="D110" t="s">
        <v>8</v>
      </c>
    </row>
    <row r="111" spans="1:4" customFormat="1" ht="15.75" hidden="1" thickBot="1">
      <c r="A111" t="s">
        <v>209</v>
      </c>
      <c r="B111" t="str">
        <f>"10673342243407825434"</f>
        <v>10673342243407825434</v>
      </c>
      <c r="C111" t="s">
        <v>210</v>
      </c>
      <c r="D111" t="s">
        <v>8</v>
      </c>
    </row>
    <row r="112" spans="1:4" customFormat="1" ht="15.75" hidden="1" thickBot="1">
      <c r="A112" t="s">
        <v>211</v>
      </c>
      <c r="B112" t="str">
        <f>"10673342243407699552"</f>
        <v>10673342243407699552</v>
      </c>
      <c r="C112" t="s">
        <v>212</v>
      </c>
      <c r="D112" t="s">
        <v>8</v>
      </c>
    </row>
    <row r="113" spans="1:4" customFormat="1" ht="15.75" hidden="1" thickBot="1">
      <c r="A113" t="s">
        <v>213</v>
      </c>
      <c r="B113" t="str">
        <f>"10673342243408215818"</f>
        <v>10673342243408215818</v>
      </c>
      <c r="C113" t="s">
        <v>214</v>
      </c>
      <c r="D113" t="s">
        <v>8</v>
      </c>
    </row>
    <row r="114" spans="1:4" customFormat="1" ht="15.75" hidden="1" thickBot="1">
      <c r="A114" t="s">
        <v>215</v>
      </c>
      <c r="B114" t="str">
        <f>"10673342243408047885"</f>
        <v>10673342243408047885</v>
      </c>
      <c r="C114" t="s">
        <v>216</v>
      </c>
      <c r="D114" t="s">
        <v>8</v>
      </c>
    </row>
    <row r="115" spans="1:4" customFormat="1" ht="15.75" hidden="1" thickBot="1">
      <c r="A115" t="s">
        <v>217</v>
      </c>
      <c r="B115" t="str">
        <f>"10673342243407996417"</f>
        <v>10673342243407996417</v>
      </c>
      <c r="C115" t="s">
        <v>218</v>
      </c>
      <c r="D115" t="s">
        <v>8</v>
      </c>
    </row>
    <row r="116" spans="1:4" customFormat="1" ht="15.75" hidden="1" thickBot="1">
      <c r="A116" t="s">
        <v>219</v>
      </c>
      <c r="B116" t="str">
        <f>"10673342243408316339"</f>
        <v>10673342243408316339</v>
      </c>
      <c r="C116" t="s">
        <v>220</v>
      </c>
      <c r="D116" t="s">
        <v>8</v>
      </c>
    </row>
    <row r="117" spans="1:4" customFormat="1" ht="15.75" hidden="1" thickBot="1">
      <c r="A117" t="s">
        <v>221</v>
      </c>
      <c r="B117" t="str">
        <f>"10673342243408296028"</f>
        <v>10673342243408296028</v>
      </c>
      <c r="C117" t="s">
        <v>222</v>
      </c>
      <c r="D117" t="s">
        <v>8</v>
      </c>
    </row>
    <row r="118" spans="1:4" customFormat="1" ht="15.75" hidden="1" thickBot="1">
      <c r="A118" t="s">
        <v>223</v>
      </c>
      <c r="B118" t="str">
        <f>"10673342243408278925"</f>
        <v>10673342243408278925</v>
      </c>
      <c r="C118" t="s">
        <v>224</v>
      </c>
      <c r="D118" t="s">
        <v>8</v>
      </c>
    </row>
    <row r="119" spans="1:4" customFormat="1" ht="15.75" hidden="1" thickBot="1">
      <c r="A119" t="s">
        <v>225</v>
      </c>
      <c r="B119" t="str">
        <f>"10673342243408296028"</f>
        <v>10673342243408296028</v>
      </c>
      <c r="C119" t="s">
        <v>222</v>
      </c>
      <c r="D119" t="s">
        <v>8</v>
      </c>
    </row>
    <row r="120" spans="1:4" customFormat="1" ht="15.75" hidden="1" thickBot="1">
      <c r="A120" t="s">
        <v>226</v>
      </c>
      <c r="B120" t="str">
        <f>"10673342243408678281"</f>
        <v>10673342243408678281</v>
      </c>
      <c r="C120" t="s">
        <v>227</v>
      </c>
      <c r="D120" t="s">
        <v>8</v>
      </c>
    </row>
    <row r="121" spans="1:4" customFormat="1" ht="15.75" hidden="1" thickBot="1">
      <c r="A121" t="s">
        <v>228</v>
      </c>
      <c r="B121" t="str">
        <f>"10673342243408677234"</f>
        <v>10673342243408677234</v>
      </c>
      <c r="C121" t="s">
        <v>229</v>
      </c>
      <c r="D121" t="s">
        <v>8</v>
      </c>
    </row>
    <row r="122" spans="1:4" customFormat="1" ht="15.75" hidden="1" thickBot="1">
      <c r="A122" t="s">
        <v>230</v>
      </c>
      <c r="B122" t="str">
        <f>"10673342243408602307"</f>
        <v>10673342243408602307</v>
      </c>
      <c r="C122" t="s">
        <v>231</v>
      </c>
      <c r="D122" t="s">
        <v>8</v>
      </c>
    </row>
    <row r="123" spans="1:4" customFormat="1" ht="15.75" hidden="1" thickBot="1">
      <c r="A123" t="s">
        <v>232</v>
      </c>
      <c r="B123" t="str">
        <f>"10673342243408601424"</f>
        <v>10673342243408601424</v>
      </c>
      <c r="C123" t="s">
        <v>233</v>
      </c>
      <c r="D123" t="s">
        <v>8</v>
      </c>
    </row>
    <row r="124" spans="1:4" customFormat="1" ht="15.75" hidden="1" thickBot="1">
      <c r="A124" t="s">
        <v>234</v>
      </c>
      <c r="B124" t="str">
        <f>"10673342233404259862"</f>
        <v>10673342233404259862</v>
      </c>
      <c r="C124" t="s">
        <v>235</v>
      </c>
      <c r="D124" t="s">
        <v>8</v>
      </c>
    </row>
    <row r="125" spans="1:4" customFormat="1" ht="15.75" hidden="1" thickBot="1">
      <c r="A125" t="s">
        <v>236</v>
      </c>
      <c r="B125" t="str">
        <f>"10673342233405956877"</f>
        <v>10673342233405956877</v>
      </c>
      <c r="C125" t="s">
        <v>237</v>
      </c>
      <c r="D125" t="s">
        <v>8</v>
      </c>
    </row>
    <row r="126" spans="1:4" customFormat="1" ht="15.75" hidden="1" thickBot="1">
      <c r="A126" t="s">
        <v>238</v>
      </c>
      <c r="B126" t="str">
        <f>"10673342233406122457"</f>
        <v>10673342233406122457</v>
      </c>
      <c r="C126" t="s">
        <v>239</v>
      </c>
      <c r="D126" t="s">
        <v>8</v>
      </c>
    </row>
    <row r="127" spans="1:4" customFormat="1" ht="15.75" hidden="1" thickBot="1">
      <c r="A127" t="s">
        <v>240</v>
      </c>
      <c r="B127" t="str">
        <f>"10673342243406353814"</f>
        <v>10673342243406353814</v>
      </c>
      <c r="C127" t="s">
        <v>241</v>
      </c>
      <c r="D127" t="s">
        <v>8</v>
      </c>
    </row>
    <row r="128" spans="1:4" customFormat="1" ht="15.75" hidden="1" thickBot="1">
      <c r="A128" t="s">
        <v>242</v>
      </c>
      <c r="B128" t="str">
        <f>"10673342243406786494"</f>
        <v>10673342243406786494</v>
      </c>
      <c r="C128" t="s">
        <v>243</v>
      </c>
      <c r="D128" t="s">
        <v>8</v>
      </c>
    </row>
    <row r="129" spans="1:4" customFormat="1" ht="15.75" hidden="1" thickBot="1">
      <c r="A129" t="s">
        <v>244</v>
      </c>
      <c r="B129" t="str">
        <f>"10673342243406786494"</f>
        <v>10673342243406786494</v>
      </c>
      <c r="C129" t="s">
        <v>243</v>
      </c>
      <c r="D129" t="s">
        <v>8</v>
      </c>
    </row>
    <row r="130" spans="1:4" customFormat="1" ht="15.75" hidden="1" thickBot="1">
      <c r="A130" t="s">
        <v>245</v>
      </c>
      <c r="B130" t="str">
        <f>"10673342243425943613"</f>
        <v>10673342243425943613</v>
      </c>
      <c r="C130" t="s">
        <v>246</v>
      </c>
      <c r="D130" t="s">
        <v>8</v>
      </c>
    </row>
    <row r="131" spans="1:4" customFormat="1" ht="15.75" hidden="1" thickBot="1">
      <c r="A131" t="s">
        <v>6</v>
      </c>
      <c r="B131" t="str">
        <f>"10673342243444971112"</f>
        <v>10673342243444971112</v>
      </c>
      <c r="C131" t="s">
        <v>247</v>
      </c>
      <c r="D131" t="s">
        <v>8</v>
      </c>
    </row>
    <row r="132" spans="1:4" customFormat="1" ht="15.75" hidden="1" thickBot="1">
      <c r="A132" t="s">
        <v>248</v>
      </c>
      <c r="B132" t="str">
        <f>"10673342243443811804"</f>
        <v>10673342243443811804</v>
      </c>
      <c r="C132" t="s">
        <v>249</v>
      </c>
      <c r="D132" t="s">
        <v>8</v>
      </c>
    </row>
    <row r="133" spans="1:4" customFormat="1" ht="15.75" hidden="1" thickBot="1">
      <c r="A133" t="s">
        <v>250</v>
      </c>
      <c r="B133" t="str">
        <f>"10673342243443797240"</f>
        <v>10673342243443797240</v>
      </c>
      <c r="C133" t="s">
        <v>251</v>
      </c>
      <c r="D133" t="s">
        <v>8</v>
      </c>
    </row>
    <row r="134" spans="1:4" customFormat="1" ht="15.75" hidden="1" thickBot="1">
      <c r="A134" t="s">
        <v>252</v>
      </c>
      <c r="B134" t="str">
        <f>"10673342243443715155"</f>
        <v>10673342243443715155</v>
      </c>
      <c r="C134" t="s">
        <v>253</v>
      </c>
      <c r="D134" t="s">
        <v>8</v>
      </c>
    </row>
    <row r="135" spans="1:4" customFormat="1" ht="15.75" hidden="1" thickBot="1">
      <c r="A135" t="s">
        <v>15</v>
      </c>
      <c r="B135" t="str">
        <f>"10673342243443715783"</f>
        <v>10673342243443715783</v>
      </c>
      <c r="C135" t="s">
        <v>254</v>
      </c>
      <c r="D135" t="s">
        <v>8</v>
      </c>
    </row>
    <row r="136" spans="1:4" customFormat="1" ht="15.75" hidden="1" thickBot="1">
      <c r="A136" t="s">
        <v>255</v>
      </c>
      <c r="B136" t="str">
        <f>"10673342243444944875"</f>
        <v>10673342243444944875</v>
      </c>
      <c r="C136" t="s">
        <v>256</v>
      </c>
      <c r="D136" t="s">
        <v>8</v>
      </c>
    </row>
    <row r="137" spans="1:4" customFormat="1" ht="15.75" hidden="1" thickBot="1">
      <c r="A137" t="s">
        <v>27</v>
      </c>
      <c r="B137" t="str">
        <f>"10673342243437985022"</f>
        <v>10673342243437985022</v>
      </c>
      <c r="C137" t="s">
        <v>257</v>
      </c>
      <c r="D137" t="s">
        <v>8</v>
      </c>
    </row>
    <row r="138" spans="1:4" customFormat="1" ht="15.75" hidden="1" thickBot="1">
      <c r="A138" t="s">
        <v>29</v>
      </c>
      <c r="B138" t="str">
        <f>"10673342243437956766"</f>
        <v>10673342243437956766</v>
      </c>
      <c r="C138" t="s">
        <v>258</v>
      </c>
      <c r="D138" t="s">
        <v>8</v>
      </c>
    </row>
    <row r="139" spans="1:4" customFormat="1" ht="15.75" hidden="1" thickBot="1">
      <c r="A139" t="s">
        <v>31</v>
      </c>
      <c r="B139" t="str">
        <f>"10673342243438918035"</f>
        <v>10673342243438918035</v>
      </c>
      <c r="C139" t="s">
        <v>259</v>
      </c>
      <c r="D139" t="s">
        <v>8</v>
      </c>
    </row>
    <row r="140" spans="1:4" customFormat="1" ht="15.75" hidden="1" thickBot="1">
      <c r="A140" t="s">
        <v>32</v>
      </c>
      <c r="B140" t="str">
        <f>"10673342243438708263"</f>
        <v>10673342243438708263</v>
      </c>
      <c r="C140" t="s">
        <v>260</v>
      </c>
      <c r="D140" t="s">
        <v>8</v>
      </c>
    </row>
    <row r="141" spans="1:4" customFormat="1" ht="15.75" hidden="1" thickBot="1">
      <c r="A141" t="s">
        <v>33</v>
      </c>
      <c r="B141" t="str">
        <f>"10673342243438607595"</f>
        <v>10673342243438607595</v>
      </c>
      <c r="C141" t="s">
        <v>261</v>
      </c>
      <c r="D141" t="s">
        <v>8</v>
      </c>
    </row>
    <row r="142" spans="1:4" customFormat="1" ht="15.75" hidden="1" thickBot="1">
      <c r="A142" t="s">
        <v>34</v>
      </c>
      <c r="B142" t="str">
        <f>"10673342243444733769"</f>
        <v>10673342243444733769</v>
      </c>
      <c r="C142" t="s">
        <v>262</v>
      </c>
      <c r="D142" t="s">
        <v>8</v>
      </c>
    </row>
    <row r="143" spans="1:4" customFormat="1" ht="15.75" hidden="1" thickBot="1">
      <c r="A143" t="s">
        <v>36</v>
      </c>
      <c r="B143" t="str">
        <f>"10673342243439160101"</f>
        <v>10673342243439160101</v>
      </c>
      <c r="C143" t="s">
        <v>263</v>
      </c>
      <c r="D143" t="s">
        <v>8</v>
      </c>
    </row>
    <row r="144" spans="1:4" customFormat="1" ht="15.75" hidden="1" thickBot="1">
      <c r="A144" t="s">
        <v>37</v>
      </c>
      <c r="B144" t="str">
        <f>"10673342243439719109"</f>
        <v>10673342243439719109</v>
      </c>
      <c r="C144" t="s">
        <v>264</v>
      </c>
      <c r="D144" t="s">
        <v>8</v>
      </c>
    </row>
    <row r="145" spans="1:4" customFormat="1" ht="15.75" hidden="1" thickBot="1">
      <c r="A145" t="s">
        <v>38</v>
      </c>
      <c r="B145" t="str">
        <f>"10673342243439431385"</f>
        <v>10673342243439431385</v>
      </c>
      <c r="C145" t="s">
        <v>265</v>
      </c>
      <c r="D145" t="s">
        <v>8</v>
      </c>
    </row>
    <row r="146" spans="1:4" customFormat="1" ht="15.75" hidden="1" thickBot="1">
      <c r="A146" t="s">
        <v>39</v>
      </c>
      <c r="B146" t="str">
        <f>"10673342243439404051"</f>
        <v>10673342243439404051</v>
      </c>
      <c r="C146" t="s">
        <v>266</v>
      </c>
      <c r="D146" t="s">
        <v>8</v>
      </c>
    </row>
    <row r="147" spans="1:4" customFormat="1" ht="15.75" hidden="1" thickBot="1">
      <c r="A147" t="s">
        <v>40</v>
      </c>
      <c r="B147" t="str">
        <f>"10673342243440595957"</f>
        <v>10673342243440595957</v>
      </c>
      <c r="C147" t="s">
        <v>267</v>
      </c>
      <c r="D147" t="s">
        <v>8</v>
      </c>
    </row>
    <row r="148" spans="1:4" customFormat="1" ht="15.75" hidden="1" thickBot="1">
      <c r="A148" t="s">
        <v>41</v>
      </c>
      <c r="B148" t="str">
        <f>"10673342243440359854"</f>
        <v>10673342243440359854</v>
      </c>
      <c r="C148" t="s">
        <v>268</v>
      </c>
      <c r="D148" t="s">
        <v>8</v>
      </c>
    </row>
    <row r="149" spans="1:4" customFormat="1" ht="15.75" hidden="1" thickBot="1">
      <c r="A149" t="s">
        <v>47</v>
      </c>
      <c r="B149" t="str">
        <f>"10673342243440903597"</f>
        <v>10673342243440903597</v>
      </c>
      <c r="C149" t="s">
        <v>269</v>
      </c>
      <c r="D149" t="s">
        <v>8</v>
      </c>
    </row>
    <row r="150" spans="1:4" customFormat="1" ht="15.75" hidden="1" thickBot="1">
      <c r="A150" t="s">
        <v>49</v>
      </c>
      <c r="B150" t="str">
        <f>"10673342243446155452"</f>
        <v>10673342243446155452</v>
      </c>
      <c r="C150" t="s">
        <v>270</v>
      </c>
      <c r="D150" t="s">
        <v>8</v>
      </c>
    </row>
    <row r="151" spans="1:4" customFormat="1" ht="15.75" hidden="1" thickBot="1">
      <c r="A151" t="s">
        <v>54</v>
      </c>
      <c r="B151" t="str">
        <f>"10673342243434880963"</f>
        <v>10673342243434880963</v>
      </c>
      <c r="C151" t="s">
        <v>271</v>
      </c>
      <c r="D151" t="s">
        <v>8</v>
      </c>
    </row>
    <row r="152" spans="1:4" customFormat="1" ht="15.75" hidden="1" thickBot="1">
      <c r="A152" t="s">
        <v>56</v>
      </c>
      <c r="B152" t="str">
        <f>"10673342243434872618"</f>
        <v>10673342243434872618</v>
      </c>
      <c r="C152" t="s">
        <v>272</v>
      </c>
      <c r="D152" t="s">
        <v>8</v>
      </c>
    </row>
    <row r="153" spans="1:4" customFormat="1" ht="15.75" hidden="1" thickBot="1">
      <c r="A153" t="s">
        <v>58</v>
      </c>
      <c r="B153" t="str">
        <f>"10673342243434488230"</f>
        <v>10673342243434488230</v>
      </c>
      <c r="C153" t="s">
        <v>273</v>
      </c>
      <c r="D153" t="s">
        <v>8</v>
      </c>
    </row>
    <row r="154" spans="1:4" customFormat="1" ht="15.75" hidden="1" thickBot="1">
      <c r="A154" t="s">
        <v>60</v>
      </c>
      <c r="B154" t="str">
        <f>"10673342243435675301"</f>
        <v>10673342243435675301</v>
      </c>
      <c r="C154" t="s">
        <v>274</v>
      </c>
      <c r="D154" t="s">
        <v>8</v>
      </c>
    </row>
    <row r="155" spans="1:4" customFormat="1" ht="15.75" hidden="1" thickBot="1">
      <c r="A155" t="s">
        <v>61</v>
      </c>
      <c r="B155" t="str">
        <f>"10673342243435994822"</f>
        <v>10673342243435994822</v>
      </c>
      <c r="C155" t="s">
        <v>275</v>
      </c>
      <c r="D155" t="s">
        <v>8</v>
      </c>
    </row>
    <row r="156" spans="1:4" customFormat="1" ht="15.75" hidden="1" thickBot="1">
      <c r="A156" t="s">
        <v>63</v>
      </c>
      <c r="B156" t="str">
        <f>"10673342243435808743"</f>
        <v>10673342243435808743</v>
      </c>
      <c r="C156" t="s">
        <v>276</v>
      </c>
      <c r="D156" t="s">
        <v>8</v>
      </c>
    </row>
    <row r="157" spans="1:4" customFormat="1" ht="15.75" hidden="1" thickBot="1">
      <c r="A157" t="s">
        <v>65</v>
      </c>
      <c r="B157" t="str">
        <f>"10673342243435730981"</f>
        <v>10673342243435730981</v>
      </c>
      <c r="C157" t="s">
        <v>277</v>
      </c>
      <c r="D157" t="s">
        <v>8</v>
      </c>
    </row>
    <row r="158" spans="1:4" customFormat="1" ht="15.75" hidden="1" thickBot="1">
      <c r="A158" t="s">
        <v>67</v>
      </c>
      <c r="B158" t="str">
        <f>"10673342243436430329"</f>
        <v>10673342243436430329</v>
      </c>
      <c r="C158" t="s">
        <v>278</v>
      </c>
      <c r="D158" t="s">
        <v>8</v>
      </c>
    </row>
    <row r="159" spans="1:4" customFormat="1" ht="15.75" hidden="1" thickBot="1">
      <c r="A159" t="s">
        <v>69</v>
      </c>
      <c r="B159" t="str">
        <f>"10673342243445772571"</f>
        <v>10673342243445772571</v>
      </c>
      <c r="C159" t="s">
        <v>279</v>
      </c>
      <c r="D159" t="s">
        <v>8</v>
      </c>
    </row>
    <row r="160" spans="1:4" customFormat="1" ht="15.75" hidden="1" thickBot="1">
      <c r="A160" t="s">
        <v>71</v>
      </c>
      <c r="B160" t="str">
        <f>"10673342243437068933"</f>
        <v>10673342243437068933</v>
      </c>
      <c r="C160" t="s">
        <v>280</v>
      </c>
      <c r="D160" t="s">
        <v>8</v>
      </c>
    </row>
    <row r="161" spans="1:4" customFormat="1" ht="15.75" hidden="1" thickBot="1">
      <c r="A161" t="s">
        <v>73</v>
      </c>
      <c r="B161" t="str">
        <f>"10673342243436877439"</f>
        <v>10673342243436877439</v>
      </c>
      <c r="C161" t="s">
        <v>281</v>
      </c>
      <c r="D161" t="s">
        <v>8</v>
      </c>
    </row>
    <row r="162" spans="1:4" customFormat="1" ht="15.75" hidden="1" thickBot="1">
      <c r="A162" t="s">
        <v>75</v>
      </c>
      <c r="B162" t="str">
        <f>"10673342243436752377"</f>
        <v>10673342243436752377</v>
      </c>
      <c r="C162" t="s">
        <v>282</v>
      </c>
      <c r="D162" t="s">
        <v>8</v>
      </c>
    </row>
    <row r="163" spans="1:4" customFormat="1" ht="15.75" hidden="1" thickBot="1">
      <c r="A163" t="s">
        <v>77</v>
      </c>
      <c r="B163" t="str">
        <f>"10673342243429217917"</f>
        <v>10673342243429217917</v>
      </c>
      <c r="C163" t="s">
        <v>283</v>
      </c>
      <c r="D163" t="s">
        <v>8</v>
      </c>
    </row>
    <row r="164" spans="1:4" customFormat="1" ht="15.75" hidden="1" thickBot="1">
      <c r="A164" t="s">
        <v>79</v>
      </c>
      <c r="B164" t="str">
        <f>"10673342243427465522"</f>
        <v>10673342243427465522</v>
      </c>
      <c r="C164" t="s">
        <v>284</v>
      </c>
      <c r="D164" t="s">
        <v>8</v>
      </c>
    </row>
    <row r="165" spans="1:4" customFormat="1" ht="15.75" hidden="1" thickBot="1">
      <c r="A165" t="s">
        <v>89</v>
      </c>
      <c r="B165" t="str">
        <f>"10673342243433748271"</f>
        <v>10673342243433748271</v>
      </c>
      <c r="C165" t="s">
        <v>285</v>
      </c>
      <c r="D165" t="s">
        <v>8</v>
      </c>
    </row>
    <row r="166" spans="1:4" customFormat="1" ht="15.75" hidden="1" thickBot="1">
      <c r="A166" t="s">
        <v>91</v>
      </c>
      <c r="B166" t="str">
        <f>"10673342243446352495"</f>
        <v>10673342243446352495</v>
      </c>
      <c r="C166" t="s">
        <v>286</v>
      </c>
      <c r="D166" t="s">
        <v>8</v>
      </c>
    </row>
    <row r="167" spans="1:4" customFormat="1" ht="15.75" hidden="1" thickBot="1">
      <c r="A167" t="s">
        <v>93</v>
      </c>
      <c r="B167" t="str">
        <f>"10673342243434393841"</f>
        <v>10673342243434393841</v>
      </c>
      <c r="C167" t="s">
        <v>287</v>
      </c>
      <c r="D167" t="s">
        <v>8</v>
      </c>
    </row>
    <row r="168" spans="1:4" customFormat="1" ht="15.75" hidden="1" thickBot="1">
      <c r="A168" t="s">
        <v>95</v>
      </c>
      <c r="B168" t="str">
        <f>"10673342243434028019"</f>
        <v>10673342243434028019</v>
      </c>
      <c r="C168" t="s">
        <v>288</v>
      </c>
      <c r="D168" t="s">
        <v>8</v>
      </c>
    </row>
    <row r="169" spans="1:4" customFormat="1" ht="15.75" hidden="1" thickBot="1">
      <c r="A169" t="s">
        <v>97</v>
      </c>
      <c r="B169" t="str">
        <f>"10673342243430288105"</f>
        <v>10673342243430288105</v>
      </c>
      <c r="C169" t="s">
        <v>289</v>
      </c>
      <c r="D169" t="s">
        <v>8</v>
      </c>
    </row>
    <row r="170" spans="1:4" customFormat="1" ht="15.75" hidden="1" thickBot="1">
      <c r="A170" t="s">
        <v>106</v>
      </c>
      <c r="B170" t="str">
        <f>"10673342243425496978"</f>
        <v>10673342243425496978</v>
      </c>
      <c r="C170" t="s">
        <v>290</v>
      </c>
      <c r="D170" t="s">
        <v>8</v>
      </c>
    </row>
    <row r="171" spans="1:4" customFormat="1" ht="15.75" hidden="1" thickBot="1">
      <c r="A171" t="s">
        <v>110</v>
      </c>
      <c r="B171" t="str">
        <f>"10673342243428494933"</f>
        <v>10673342243428494933</v>
      </c>
      <c r="C171" t="s">
        <v>291</v>
      </c>
      <c r="D171" t="s">
        <v>8</v>
      </c>
    </row>
    <row r="172" spans="1:4" customFormat="1" ht="15.75" hidden="1" thickBot="1">
      <c r="A172" t="s">
        <v>114</v>
      </c>
      <c r="B172" t="str">
        <f>"10673342243429132067"</f>
        <v>10673342243429132067</v>
      </c>
      <c r="C172" t="s">
        <v>292</v>
      </c>
      <c r="D172" t="s">
        <v>8</v>
      </c>
    </row>
    <row r="173" spans="1:4" customFormat="1" ht="15.75" hidden="1" thickBot="1">
      <c r="A173" t="s">
        <v>116</v>
      </c>
      <c r="B173" t="str">
        <f>"10673342243429349354"</f>
        <v>10673342243429349354</v>
      </c>
      <c r="C173" t="s">
        <v>293</v>
      </c>
      <c r="D173" t="s">
        <v>8</v>
      </c>
    </row>
    <row r="174" spans="1:4" customFormat="1" ht="15.75" hidden="1" thickBot="1">
      <c r="A174" t="s">
        <v>118</v>
      </c>
      <c r="B174" t="str">
        <f>"10673342243430009915"</f>
        <v>10673342243430009915</v>
      </c>
      <c r="C174" t="s">
        <v>294</v>
      </c>
      <c r="D174" t="s">
        <v>8</v>
      </c>
    </row>
    <row r="175" spans="1:4" customFormat="1" ht="15.75" hidden="1" thickBot="1">
      <c r="A175" t="s">
        <v>120</v>
      </c>
      <c r="B175" t="str">
        <f>"10673342243430003313"</f>
        <v>10673342243430003313</v>
      </c>
      <c r="C175" t="s">
        <v>295</v>
      </c>
      <c r="D175" t="s">
        <v>8</v>
      </c>
    </row>
    <row r="176" spans="1:4" customFormat="1" ht="15.75" hidden="1" thickBot="1">
      <c r="A176" t="s">
        <v>245</v>
      </c>
      <c r="B176" t="str">
        <f>"10673342243445166833"</f>
        <v>10673342243445166833</v>
      </c>
      <c r="C176" t="s">
        <v>296</v>
      </c>
      <c r="D176" t="s">
        <v>8</v>
      </c>
    </row>
    <row r="177" spans="1:4" customFormat="1" ht="15.75" hidden="1" thickBot="1">
      <c r="A177" t="s">
        <v>6</v>
      </c>
      <c r="B177" t="str">
        <f>"10673342243455990865"</f>
        <v>10673342243455990865</v>
      </c>
      <c r="C177" t="s">
        <v>297</v>
      </c>
      <c r="D177" t="s">
        <v>8</v>
      </c>
    </row>
    <row r="178" spans="1:4" customFormat="1" ht="15.75" hidden="1" thickBot="1">
      <c r="A178" t="s">
        <v>298</v>
      </c>
      <c r="B178" t="str">
        <f>"10673342243452220430"</f>
        <v>10673342243452220430</v>
      </c>
      <c r="C178" t="s">
        <v>299</v>
      </c>
      <c r="D178" t="s">
        <v>8</v>
      </c>
    </row>
    <row r="179" spans="1:4" customFormat="1" ht="15.75" hidden="1" thickBot="1">
      <c r="A179" t="s">
        <v>300</v>
      </c>
      <c r="B179" t="str">
        <f>"10673342243452102900"</f>
        <v>10673342243452102900</v>
      </c>
      <c r="C179" t="s">
        <v>301</v>
      </c>
      <c r="D179" t="s">
        <v>8</v>
      </c>
    </row>
    <row r="180" spans="1:4" customFormat="1" ht="15.75" hidden="1" thickBot="1">
      <c r="A180" t="s">
        <v>302</v>
      </c>
      <c r="B180" t="str">
        <f>"10673342243451912444"</f>
        <v>10673342243451912444</v>
      </c>
      <c r="C180" t="s">
        <v>303</v>
      </c>
      <c r="D180" t="s">
        <v>8</v>
      </c>
    </row>
    <row r="181" spans="1:4" customFormat="1" ht="15.75" hidden="1" thickBot="1">
      <c r="A181" t="s">
        <v>250</v>
      </c>
      <c r="B181" t="str">
        <f>"10673342243451790764"</f>
        <v>10673342243451790764</v>
      </c>
      <c r="C181" t="s">
        <v>304</v>
      </c>
      <c r="D181" t="s">
        <v>8</v>
      </c>
    </row>
    <row r="182" spans="1:4" customFormat="1" ht="15.75" hidden="1" thickBot="1">
      <c r="A182" t="s">
        <v>305</v>
      </c>
      <c r="B182" t="str">
        <f>"10673342243451754296"</f>
        <v>10673342243451754296</v>
      </c>
      <c r="C182" t="s">
        <v>306</v>
      </c>
      <c r="D182" t="s">
        <v>8</v>
      </c>
    </row>
    <row r="183" spans="1:4" customFormat="1" ht="15.75" hidden="1" thickBot="1">
      <c r="A183" t="s">
        <v>252</v>
      </c>
      <c r="B183" t="str">
        <f>"10673342243452832827"</f>
        <v>10673342243452832827</v>
      </c>
      <c r="C183" t="s">
        <v>307</v>
      </c>
      <c r="D183" t="s">
        <v>8</v>
      </c>
    </row>
    <row r="184" spans="1:4" customFormat="1" ht="15.75" hidden="1" thickBot="1">
      <c r="A184" t="s">
        <v>255</v>
      </c>
      <c r="B184" t="str">
        <f>"10673342243456761444"</f>
        <v>10673342243456761444</v>
      </c>
      <c r="C184" t="s">
        <v>308</v>
      </c>
      <c r="D184" t="s">
        <v>8</v>
      </c>
    </row>
    <row r="185" spans="1:4" customFormat="1" ht="15.75" hidden="1" thickBot="1">
      <c r="A185" t="s">
        <v>17</v>
      </c>
      <c r="B185" t="str">
        <f>"10673342243452657960"</f>
        <v>10673342243452657960</v>
      </c>
      <c r="C185" t="s">
        <v>309</v>
      </c>
      <c r="D185" t="s">
        <v>8</v>
      </c>
    </row>
    <row r="186" spans="1:4" customFormat="1" ht="15.75" hidden="1" thickBot="1">
      <c r="A186" t="s">
        <v>19</v>
      </c>
      <c r="B186" t="str">
        <f>"10673342243452609052"</f>
        <v>10673342243452609052</v>
      </c>
      <c r="C186" t="s">
        <v>310</v>
      </c>
      <c r="D186" t="s">
        <v>8</v>
      </c>
    </row>
    <row r="187" spans="1:4" customFormat="1" ht="15.75" hidden="1" thickBot="1">
      <c r="A187" t="s">
        <v>21</v>
      </c>
      <c r="B187" t="str">
        <f>"10673342243452609052"</f>
        <v>10673342243452609052</v>
      </c>
      <c r="C187" t="s">
        <v>310</v>
      </c>
      <c r="D187" t="s">
        <v>8</v>
      </c>
    </row>
    <row r="188" spans="1:4" customFormat="1" ht="15.75" hidden="1" thickBot="1">
      <c r="A188" t="s">
        <v>29</v>
      </c>
      <c r="B188" t="str">
        <f>"18810566240617741725"</f>
        <v>18810566240617741725</v>
      </c>
      <c r="C188" t="s">
        <v>311</v>
      </c>
      <c r="D188" t="s">
        <v>8</v>
      </c>
    </row>
    <row r="189" spans="1:4" customFormat="1" ht="15.75" hidden="1" thickBot="1">
      <c r="A189" t="s">
        <v>34</v>
      </c>
      <c r="B189" t="str">
        <f>"10673342243456599078"</f>
        <v>10673342243456599078</v>
      </c>
      <c r="C189" t="s">
        <v>312</v>
      </c>
      <c r="D189" t="s">
        <v>8</v>
      </c>
    </row>
    <row r="190" spans="1:4" customFormat="1" ht="15.75" hidden="1" thickBot="1">
      <c r="A190" t="s">
        <v>36</v>
      </c>
      <c r="B190" t="str">
        <f>"10673342243454031554"</f>
        <v>10673342243454031554</v>
      </c>
      <c r="C190" t="s">
        <v>313</v>
      </c>
      <c r="D190" t="s">
        <v>8</v>
      </c>
    </row>
    <row r="191" spans="1:4" customFormat="1" ht="15.75" hidden="1" thickBot="1">
      <c r="A191" t="s">
        <v>37</v>
      </c>
      <c r="B191" t="str">
        <f>"10673342243453881902"</f>
        <v>10673342243453881902</v>
      </c>
      <c r="C191" t="s">
        <v>314</v>
      </c>
      <c r="D191" t="s">
        <v>8</v>
      </c>
    </row>
    <row r="192" spans="1:4" customFormat="1" ht="15.75" hidden="1" thickBot="1">
      <c r="A192" t="s">
        <v>38</v>
      </c>
      <c r="B192" t="str">
        <f>"10673342243453603180"</f>
        <v>10673342243453603180</v>
      </c>
      <c r="C192" t="s">
        <v>315</v>
      </c>
      <c r="D192" t="s">
        <v>8</v>
      </c>
    </row>
    <row r="193" spans="1:4" customFormat="1" ht="15.75" hidden="1" thickBot="1">
      <c r="A193" t="s">
        <v>39</v>
      </c>
      <c r="B193" t="str">
        <f>"10673342243454595431"</f>
        <v>10673342243454595431</v>
      </c>
      <c r="C193" t="s">
        <v>316</v>
      </c>
      <c r="D193" t="s">
        <v>8</v>
      </c>
    </row>
    <row r="194" spans="1:4" customFormat="1" ht="15.75" hidden="1" thickBot="1">
      <c r="A194" t="s">
        <v>40</v>
      </c>
      <c r="B194" t="str">
        <f>"10673342243454411748"</f>
        <v>10673342243454411748</v>
      </c>
      <c r="C194" t="s">
        <v>317</v>
      </c>
      <c r="D194" t="s">
        <v>8</v>
      </c>
    </row>
    <row r="195" spans="1:4" customFormat="1" ht="15.75" hidden="1" thickBot="1">
      <c r="A195" t="s">
        <v>41</v>
      </c>
      <c r="B195" t="str">
        <f>"10673342243454347705"</f>
        <v>10673342243454347705</v>
      </c>
      <c r="C195" t="s">
        <v>318</v>
      </c>
      <c r="D195" t="s">
        <v>8</v>
      </c>
    </row>
    <row r="196" spans="1:4" customFormat="1" ht="15.75" hidden="1" thickBot="1">
      <c r="A196" t="s">
        <v>43</v>
      </c>
      <c r="B196" t="str">
        <f>"10673342243454303546"</f>
        <v>10673342243454303546</v>
      </c>
      <c r="C196" t="s">
        <v>319</v>
      </c>
      <c r="D196" t="s">
        <v>8</v>
      </c>
    </row>
    <row r="197" spans="1:4" customFormat="1" ht="15.75" hidden="1" thickBot="1">
      <c r="A197" t="s">
        <v>45</v>
      </c>
      <c r="B197" t="str">
        <f>"10673342243454293397"</f>
        <v>10673342243454293397</v>
      </c>
      <c r="C197" t="s">
        <v>320</v>
      </c>
      <c r="D197" t="s">
        <v>8</v>
      </c>
    </row>
    <row r="198" spans="1:4" customFormat="1" ht="15.75" hidden="1" thickBot="1">
      <c r="A198" t="s">
        <v>47</v>
      </c>
      <c r="B198" t="str">
        <f>"10673342243454239139"</f>
        <v>10673342243454239139</v>
      </c>
      <c r="C198" t="s">
        <v>321</v>
      </c>
      <c r="D198" t="s">
        <v>8</v>
      </c>
    </row>
    <row r="199" spans="1:4" customFormat="1" ht="15.75" hidden="1" thickBot="1">
      <c r="A199" t="s">
        <v>49</v>
      </c>
      <c r="B199" t="str">
        <f>"10673342243456496295"</f>
        <v>10673342243456496295</v>
      </c>
      <c r="C199" t="s">
        <v>322</v>
      </c>
      <c r="D199" t="s">
        <v>8</v>
      </c>
    </row>
    <row r="200" spans="1:4" customFormat="1" ht="15.75" hidden="1" thickBot="1">
      <c r="A200" t="s">
        <v>50</v>
      </c>
      <c r="B200" t="str">
        <f>"10673342243449712212"</f>
        <v>10673342243449712212</v>
      </c>
      <c r="C200" t="s">
        <v>323</v>
      </c>
      <c r="D200" t="s">
        <v>8</v>
      </c>
    </row>
    <row r="201" spans="1:4" customFormat="1" ht="15.75" hidden="1" thickBot="1">
      <c r="A201" t="s">
        <v>52</v>
      </c>
      <c r="B201" t="str">
        <f>"10673342243450387153"</f>
        <v>10673342243450387153</v>
      </c>
      <c r="C201" t="s">
        <v>324</v>
      </c>
      <c r="D201" t="s">
        <v>8</v>
      </c>
    </row>
    <row r="202" spans="1:4" customFormat="1" ht="15.75" hidden="1" thickBot="1">
      <c r="A202" t="s">
        <v>54</v>
      </c>
      <c r="B202" t="str">
        <f>"10673342243450298602"</f>
        <v>10673342243450298602</v>
      </c>
      <c r="C202" t="s">
        <v>325</v>
      </c>
      <c r="D202" t="s">
        <v>8</v>
      </c>
    </row>
    <row r="203" spans="1:4" customFormat="1" ht="15.75" hidden="1" thickBot="1">
      <c r="A203" t="s">
        <v>61</v>
      </c>
      <c r="B203" t="str">
        <f>"10673342243450716204"</f>
        <v>10673342243450716204</v>
      </c>
      <c r="C203" t="s">
        <v>326</v>
      </c>
      <c r="D203" t="s">
        <v>8</v>
      </c>
    </row>
    <row r="204" spans="1:4" customFormat="1" ht="15.75" hidden="1" thickBot="1">
      <c r="A204" t="s">
        <v>63</v>
      </c>
      <c r="B204" t="str">
        <f>"10673342243450720479"</f>
        <v>10673342243450720479</v>
      </c>
      <c r="C204" t="s">
        <v>327</v>
      </c>
      <c r="D204" t="s">
        <v>8</v>
      </c>
    </row>
    <row r="205" spans="1:4" customFormat="1" ht="15.75" hidden="1" thickBot="1">
      <c r="A205" t="s">
        <v>65</v>
      </c>
      <c r="B205" t="str">
        <f>"10673342243450694109"</f>
        <v>10673342243450694109</v>
      </c>
      <c r="C205" t="s">
        <v>328</v>
      </c>
      <c r="D205" t="s">
        <v>8</v>
      </c>
    </row>
    <row r="206" spans="1:4" customFormat="1" ht="15.75" hidden="1" thickBot="1">
      <c r="A206" t="s">
        <v>67</v>
      </c>
      <c r="B206" t="str">
        <f>"10673342243450653119"</f>
        <v>10673342243450653119</v>
      </c>
      <c r="C206" t="s">
        <v>329</v>
      </c>
      <c r="D206" t="s">
        <v>8</v>
      </c>
    </row>
    <row r="207" spans="1:4" customFormat="1" ht="15.75" hidden="1" thickBot="1">
      <c r="A207" t="s">
        <v>69</v>
      </c>
      <c r="B207" t="str">
        <f>"10673342243456928195"</f>
        <v>10673342243456928195</v>
      </c>
      <c r="C207" t="s">
        <v>330</v>
      </c>
      <c r="D207" t="s">
        <v>8</v>
      </c>
    </row>
    <row r="208" spans="1:4" customFormat="1" ht="15.75" hidden="1" thickBot="1">
      <c r="A208" t="s">
        <v>71</v>
      </c>
      <c r="B208" t="str">
        <f>"10673342243450595984"</f>
        <v>10673342243450595984</v>
      </c>
      <c r="C208" t="s">
        <v>331</v>
      </c>
      <c r="D208" t="s">
        <v>8</v>
      </c>
    </row>
    <row r="209" spans="1:4" customFormat="1" ht="15.75" hidden="1" thickBot="1">
      <c r="A209" t="s">
        <v>75</v>
      </c>
      <c r="B209" t="str">
        <f>"10673342243450569134"</f>
        <v>10673342243450569134</v>
      </c>
      <c r="C209" t="s">
        <v>332</v>
      </c>
      <c r="D209" t="s">
        <v>8</v>
      </c>
    </row>
    <row r="210" spans="1:4" customFormat="1" ht="15.75" hidden="1" thickBot="1">
      <c r="A210" t="s">
        <v>85</v>
      </c>
      <c r="B210" t="str">
        <f>"18810577240530183648"</f>
        <v>18810577240530183648</v>
      </c>
      <c r="C210" t="s">
        <v>333</v>
      </c>
      <c r="D210" t="s">
        <v>8</v>
      </c>
    </row>
    <row r="211" spans="1:4" customFormat="1" ht="15.75" hidden="1" thickBot="1">
      <c r="A211" t="s">
        <v>91</v>
      </c>
      <c r="B211" t="str">
        <f>"10673342243457395980"</f>
        <v>10673342243457395980</v>
      </c>
      <c r="C211" t="s">
        <v>334</v>
      </c>
      <c r="D211" t="s">
        <v>8</v>
      </c>
    </row>
    <row r="212" spans="1:4" customFormat="1" ht="15.75" hidden="1" thickBot="1">
      <c r="A212" t="s">
        <v>93</v>
      </c>
      <c r="B212" t="str">
        <f>"10673342243447442781"</f>
        <v>10673342243447442781</v>
      </c>
      <c r="C212" t="s">
        <v>335</v>
      </c>
      <c r="D212" t="s">
        <v>8</v>
      </c>
    </row>
    <row r="213" spans="1:4" customFormat="1" ht="15.75" hidden="1" thickBot="1">
      <c r="A213" t="s">
        <v>95</v>
      </c>
      <c r="B213" t="str">
        <f>"10673342243447427499"</f>
        <v>10673342243447427499</v>
      </c>
      <c r="C213" t="s">
        <v>336</v>
      </c>
      <c r="D213" t="s">
        <v>8</v>
      </c>
    </row>
    <row r="214" spans="1:4" customFormat="1" ht="15.75" hidden="1" thickBot="1">
      <c r="A214" t="s">
        <v>97</v>
      </c>
      <c r="B214" t="str">
        <f>"10673342243447388329"</f>
        <v>10673342243447388329</v>
      </c>
      <c r="C214" t="s">
        <v>337</v>
      </c>
      <c r="D214" t="s">
        <v>8</v>
      </c>
    </row>
    <row r="215" spans="1:4" customFormat="1" ht="15.75" hidden="1" thickBot="1">
      <c r="A215" t="s">
        <v>99</v>
      </c>
      <c r="B215" t="str">
        <f>"10673342243447374263"</f>
        <v>10673342243447374263</v>
      </c>
      <c r="C215" t="s">
        <v>338</v>
      </c>
      <c r="D215" t="s">
        <v>8</v>
      </c>
    </row>
    <row r="216" spans="1:4" customFormat="1" ht="15.75" hidden="1" thickBot="1">
      <c r="A216" t="s">
        <v>102</v>
      </c>
      <c r="B216" t="str">
        <f>"10673342243447915566"</f>
        <v>10673342243447915566</v>
      </c>
      <c r="C216" t="s">
        <v>339</v>
      </c>
      <c r="D216" t="s">
        <v>8</v>
      </c>
    </row>
    <row r="217" spans="1:4" customFormat="1" ht="15.75" hidden="1" thickBot="1">
      <c r="A217" t="s">
        <v>104</v>
      </c>
      <c r="B217" t="str">
        <f>"10673342243447890709"</f>
        <v>10673342243447890709</v>
      </c>
      <c r="C217" t="s">
        <v>340</v>
      </c>
      <c r="D217" t="s">
        <v>8</v>
      </c>
    </row>
    <row r="218" spans="1:4" customFormat="1" ht="15.75" hidden="1" thickBot="1">
      <c r="A218" t="s">
        <v>106</v>
      </c>
      <c r="B218" t="str">
        <f>"10673342243448789084"</f>
        <v>10673342243448789084</v>
      </c>
      <c r="C218" t="s">
        <v>341</v>
      </c>
      <c r="D218" t="s">
        <v>8</v>
      </c>
    </row>
    <row r="219" spans="1:4" customFormat="1" ht="15.75" hidden="1" thickBot="1">
      <c r="A219" t="s">
        <v>108</v>
      </c>
      <c r="B219" t="str">
        <f>"10673342243448779348"</f>
        <v>10673342243448779348</v>
      </c>
      <c r="C219" t="s">
        <v>342</v>
      </c>
      <c r="D219" t="s">
        <v>8</v>
      </c>
    </row>
    <row r="220" spans="1:4" customFormat="1" ht="15.75" hidden="1" thickBot="1">
      <c r="A220" t="s">
        <v>110</v>
      </c>
      <c r="B220" t="str">
        <f>"10673342243449465851"</f>
        <v>10673342243449465851</v>
      </c>
      <c r="C220" t="s">
        <v>343</v>
      </c>
      <c r="D220" t="s">
        <v>8</v>
      </c>
    </row>
    <row r="221" spans="1:4" customFormat="1" ht="15.75" hidden="1" thickBot="1">
      <c r="A221" t="s">
        <v>112</v>
      </c>
      <c r="B221" t="str">
        <f>"10673342243457395980"</f>
        <v>10673342243457395980</v>
      </c>
      <c r="C221" t="s">
        <v>334</v>
      </c>
      <c r="D221" t="s">
        <v>8</v>
      </c>
    </row>
    <row r="222" spans="1:4" customFormat="1" ht="15.75" hidden="1" thickBot="1">
      <c r="A222" t="s">
        <v>114</v>
      </c>
      <c r="B222" t="str">
        <f>"10673342243449318204"</f>
        <v>10673342243449318204</v>
      </c>
      <c r="C222" t="s">
        <v>344</v>
      </c>
      <c r="D222" t="s">
        <v>8</v>
      </c>
    </row>
    <row r="223" spans="1:4" customFormat="1" ht="15.75" hidden="1" thickBot="1">
      <c r="A223" t="s">
        <v>116</v>
      </c>
      <c r="B223" t="str">
        <f>"10673342243449198861"</f>
        <v>10673342243449198861</v>
      </c>
      <c r="C223" t="s">
        <v>345</v>
      </c>
      <c r="D223" t="s">
        <v>8</v>
      </c>
    </row>
    <row r="224" spans="1:4" customFormat="1" ht="15.75" hidden="1" thickBot="1">
      <c r="A224" t="s">
        <v>134</v>
      </c>
      <c r="B224" t="str">
        <f>"10673342243457315901"</f>
        <v>10673342243457315901</v>
      </c>
      <c r="C224" t="s">
        <v>346</v>
      </c>
      <c r="D224" t="s">
        <v>8</v>
      </c>
    </row>
    <row r="225" spans="1:4" customFormat="1" ht="15.75" hidden="1" thickBot="1">
      <c r="A225" t="s">
        <v>155</v>
      </c>
      <c r="B225" t="str">
        <f>"10673342243452302593"</f>
        <v>10673342243452302593</v>
      </c>
      <c r="C225" t="s">
        <v>347</v>
      </c>
      <c r="D225" t="s">
        <v>8</v>
      </c>
    </row>
    <row r="226" spans="1:4" customFormat="1" ht="15.75" hidden="1" thickBot="1">
      <c r="A226" t="s">
        <v>245</v>
      </c>
      <c r="B226" t="str">
        <f>"10673342243456117987"</f>
        <v>10673342243456117987</v>
      </c>
      <c r="C226" t="s">
        <v>348</v>
      </c>
      <c r="D226" t="s">
        <v>8</v>
      </c>
    </row>
    <row r="227" spans="1:4" customFormat="1" ht="15.75" hidden="1" thickBot="1">
      <c r="A227" t="s">
        <v>6</v>
      </c>
      <c r="B227" t="str">
        <f>"10673342233404244792"</f>
        <v>10673342233404244792</v>
      </c>
      <c r="C227" t="s">
        <v>349</v>
      </c>
      <c r="D227" t="s">
        <v>8</v>
      </c>
    </row>
    <row r="228" spans="1:4" customFormat="1" ht="15.75" hidden="1" thickBot="1">
      <c r="A228" t="s">
        <v>9</v>
      </c>
      <c r="B228" t="str">
        <f>"10673342233401661023"</f>
        <v>10673342233401661023</v>
      </c>
      <c r="C228" t="s">
        <v>350</v>
      </c>
      <c r="D228" t="s">
        <v>8</v>
      </c>
    </row>
    <row r="229" spans="1:4" customFormat="1" ht="15.75" hidden="1" thickBot="1">
      <c r="A229" t="s">
        <v>13</v>
      </c>
      <c r="B229" t="str">
        <f>"10673342233401199427"</f>
        <v>10673342233401199427</v>
      </c>
      <c r="C229" t="s">
        <v>351</v>
      </c>
      <c r="D229" t="s">
        <v>8</v>
      </c>
    </row>
    <row r="230" spans="1:4" customFormat="1" ht="15.75" hidden="1" thickBot="1">
      <c r="A230" t="s">
        <v>298</v>
      </c>
      <c r="B230" t="str">
        <f>"10673342233402466054"</f>
        <v>10673342233402466054</v>
      </c>
      <c r="C230" t="s">
        <v>352</v>
      </c>
      <c r="D230" t="s">
        <v>8</v>
      </c>
    </row>
    <row r="231" spans="1:4" customFormat="1" ht="15.75" hidden="1" thickBot="1">
      <c r="A231" t="s">
        <v>248</v>
      </c>
      <c r="B231" t="str">
        <f>"10673342233496921158"</f>
        <v>10673342233496921158</v>
      </c>
      <c r="C231" t="s">
        <v>353</v>
      </c>
      <c r="D231" t="s">
        <v>8</v>
      </c>
    </row>
    <row r="232" spans="1:4" customFormat="1" ht="15.75" hidden="1" thickBot="1">
      <c r="A232" t="s">
        <v>250</v>
      </c>
      <c r="B232" t="str">
        <f>"10673342233496347976"</f>
        <v>10673342233496347976</v>
      </c>
      <c r="C232" t="s">
        <v>354</v>
      </c>
      <c r="D232" t="s">
        <v>8</v>
      </c>
    </row>
    <row r="233" spans="1:4" customFormat="1" ht="15.75" hidden="1" thickBot="1">
      <c r="A233" t="s">
        <v>305</v>
      </c>
      <c r="B233" t="str">
        <f>"10673342233496921158"</f>
        <v>10673342233496921158</v>
      </c>
      <c r="C233" t="s">
        <v>353</v>
      </c>
      <c r="D233" t="s">
        <v>8</v>
      </c>
    </row>
    <row r="234" spans="1:4" customFormat="1" ht="15.75" hidden="1" thickBot="1">
      <c r="A234" t="s">
        <v>252</v>
      </c>
      <c r="B234" t="str">
        <f>"10673342233496347976"</f>
        <v>10673342233496347976</v>
      </c>
      <c r="C234" t="s">
        <v>354</v>
      </c>
      <c r="D234" t="s">
        <v>8</v>
      </c>
    </row>
    <row r="235" spans="1:4" customFormat="1" ht="15.75" hidden="1" thickBot="1">
      <c r="A235" t="s">
        <v>15</v>
      </c>
      <c r="B235" t="str">
        <f>"10673342233496921158"</f>
        <v>10673342233496921158</v>
      </c>
      <c r="C235" t="s">
        <v>353</v>
      </c>
      <c r="D235" t="s">
        <v>8</v>
      </c>
    </row>
    <row r="236" spans="1:4" customFormat="1" ht="15.75" hidden="1" thickBot="1">
      <c r="A236" t="s">
        <v>255</v>
      </c>
      <c r="B236" t="str">
        <f>"10673342233404756076"</f>
        <v>10673342233404756076</v>
      </c>
      <c r="C236" t="s">
        <v>355</v>
      </c>
      <c r="D236" t="s">
        <v>8</v>
      </c>
    </row>
    <row r="237" spans="1:4" customFormat="1" ht="15.75" hidden="1" thickBot="1">
      <c r="A237" t="s">
        <v>17</v>
      </c>
      <c r="B237" t="str">
        <f>"10673342233497555580"</f>
        <v>10673342233497555580</v>
      </c>
      <c r="C237" t="s">
        <v>356</v>
      </c>
      <c r="D237" t="s">
        <v>8</v>
      </c>
    </row>
    <row r="238" spans="1:4" customFormat="1" ht="15.75" hidden="1" thickBot="1">
      <c r="A238" t="s">
        <v>19</v>
      </c>
      <c r="B238" t="str">
        <f>"10673342233497627626"</f>
        <v>10673342233497627626</v>
      </c>
      <c r="C238" t="s">
        <v>357</v>
      </c>
      <c r="D238" t="s">
        <v>8</v>
      </c>
    </row>
    <row r="239" spans="1:4" customFormat="1" ht="15.75" hidden="1" thickBot="1">
      <c r="A239" t="s">
        <v>21</v>
      </c>
      <c r="B239" t="str">
        <f>"10673342233496171088"</f>
        <v>10673342233496171088</v>
      </c>
      <c r="C239" t="s">
        <v>358</v>
      </c>
      <c r="D239" t="s">
        <v>8</v>
      </c>
    </row>
    <row r="240" spans="1:4" customFormat="1" ht="15.75" hidden="1" thickBot="1">
      <c r="A240" t="s">
        <v>29</v>
      </c>
      <c r="B240" t="str">
        <f>"10673342233493889319"</f>
        <v>10673342233493889319</v>
      </c>
      <c r="C240" t="s">
        <v>359</v>
      </c>
      <c r="D240" t="s">
        <v>8</v>
      </c>
    </row>
    <row r="241" spans="1:4" customFormat="1" ht="15.75" hidden="1" thickBot="1">
      <c r="A241" t="s">
        <v>31</v>
      </c>
      <c r="B241" t="str">
        <f>"10673342233493889319"</f>
        <v>10673342233493889319</v>
      </c>
      <c r="C241" t="s">
        <v>359</v>
      </c>
      <c r="D241" t="s">
        <v>8</v>
      </c>
    </row>
    <row r="242" spans="1:4" customFormat="1" ht="15.75" hidden="1" thickBot="1">
      <c r="A242" t="s">
        <v>32</v>
      </c>
      <c r="B242" t="str">
        <f>"10673342233494390890"</f>
        <v>10673342233494390890</v>
      </c>
      <c r="C242" t="s">
        <v>360</v>
      </c>
      <c r="D242" t="s">
        <v>8</v>
      </c>
    </row>
    <row r="243" spans="1:4" customFormat="1" ht="15.75" hidden="1" thickBot="1">
      <c r="A243" t="s">
        <v>33</v>
      </c>
      <c r="B243" t="str">
        <f>"10673342233494346174"</f>
        <v>10673342233494346174</v>
      </c>
      <c r="C243" t="s">
        <v>361</v>
      </c>
      <c r="D243" t="s">
        <v>8</v>
      </c>
    </row>
    <row r="244" spans="1:4" customFormat="1" ht="15.75" hidden="1" thickBot="1">
      <c r="A244" t="s">
        <v>34</v>
      </c>
      <c r="B244" t="str">
        <f>"10673342233402828940"</f>
        <v>10673342233402828940</v>
      </c>
      <c r="C244" t="s">
        <v>362</v>
      </c>
      <c r="D244" t="s">
        <v>8</v>
      </c>
    </row>
    <row r="245" spans="1:4" customFormat="1" ht="15.75" hidden="1" thickBot="1">
      <c r="A245" t="s">
        <v>36</v>
      </c>
      <c r="B245" t="str">
        <f>"10673342233494817703"</f>
        <v>10673342233494817703</v>
      </c>
      <c r="C245" t="s">
        <v>363</v>
      </c>
      <c r="D245" t="s">
        <v>8</v>
      </c>
    </row>
    <row r="246" spans="1:4" customFormat="1" ht="15.75" hidden="1" thickBot="1">
      <c r="A246" t="s">
        <v>37</v>
      </c>
      <c r="B246" t="str">
        <f>"10673342233494817703"</f>
        <v>10673342233494817703</v>
      </c>
      <c r="C246" t="s">
        <v>363</v>
      </c>
      <c r="D246" t="s">
        <v>8</v>
      </c>
    </row>
    <row r="247" spans="1:4" customFormat="1" ht="15.75" hidden="1" thickBot="1">
      <c r="A247" t="s">
        <v>38</v>
      </c>
      <c r="B247" t="str">
        <f>"10673342233494598130"</f>
        <v>10673342233494598130</v>
      </c>
      <c r="C247" t="s">
        <v>364</v>
      </c>
      <c r="D247" t="s">
        <v>8</v>
      </c>
    </row>
    <row r="248" spans="1:4" customFormat="1" ht="15.75" hidden="1" thickBot="1">
      <c r="A248" t="s">
        <v>39</v>
      </c>
      <c r="B248" t="str">
        <f>"10673342233494817703"</f>
        <v>10673342233494817703</v>
      </c>
      <c r="C248" t="s">
        <v>363</v>
      </c>
      <c r="D248" t="s">
        <v>8</v>
      </c>
    </row>
    <row r="249" spans="1:4" customFormat="1" ht="15.75" hidden="1" thickBot="1">
      <c r="A249" t="s">
        <v>40</v>
      </c>
      <c r="B249" t="str">
        <f>"10673342233494598130"</f>
        <v>10673342233494598130</v>
      </c>
      <c r="C249" t="s">
        <v>364</v>
      </c>
      <c r="D249" t="s">
        <v>8</v>
      </c>
    </row>
    <row r="250" spans="1:4" customFormat="1" ht="15.75" hidden="1" thickBot="1">
      <c r="A250" t="s">
        <v>41</v>
      </c>
      <c r="B250" t="str">
        <f>"10673342233494346174"</f>
        <v>10673342233494346174</v>
      </c>
      <c r="C250" t="s">
        <v>361</v>
      </c>
      <c r="D250" t="s">
        <v>8</v>
      </c>
    </row>
    <row r="251" spans="1:4" customFormat="1" ht="15.75" hidden="1" thickBot="1">
      <c r="A251" t="s">
        <v>42</v>
      </c>
      <c r="B251" t="str">
        <f>"10673342233494817703"</f>
        <v>10673342233494817703</v>
      </c>
      <c r="C251" t="s">
        <v>363</v>
      </c>
      <c r="D251" t="s">
        <v>8</v>
      </c>
    </row>
    <row r="252" spans="1:4" customFormat="1" ht="15.75" hidden="1" thickBot="1">
      <c r="A252" t="s">
        <v>43</v>
      </c>
      <c r="B252" t="str">
        <f>"10673342233494598130"</f>
        <v>10673342233494598130</v>
      </c>
      <c r="C252" t="s">
        <v>364</v>
      </c>
      <c r="D252" t="s">
        <v>8</v>
      </c>
    </row>
    <row r="253" spans="1:4" customFormat="1" ht="15.75" hidden="1" thickBot="1">
      <c r="A253" t="s">
        <v>45</v>
      </c>
      <c r="B253" t="str">
        <f>"10673342233491781112"</f>
        <v>10673342233491781112</v>
      </c>
      <c r="C253" t="s">
        <v>365</v>
      </c>
      <c r="D253" t="s">
        <v>8</v>
      </c>
    </row>
    <row r="254" spans="1:4" customFormat="1" ht="15.75" hidden="1" thickBot="1">
      <c r="A254" t="s">
        <v>47</v>
      </c>
      <c r="B254" t="str">
        <f>"10673342233492165458"</f>
        <v>10673342233492165458</v>
      </c>
      <c r="C254" t="s">
        <v>366</v>
      </c>
      <c r="D254" t="s">
        <v>8</v>
      </c>
    </row>
    <row r="255" spans="1:4" customFormat="1" ht="15.75" hidden="1" thickBot="1">
      <c r="A255" t="s">
        <v>49</v>
      </c>
      <c r="B255" t="str">
        <f>"10673342233405059662"</f>
        <v>10673342233405059662</v>
      </c>
      <c r="C255" t="s">
        <v>367</v>
      </c>
      <c r="D255" t="s">
        <v>8</v>
      </c>
    </row>
    <row r="256" spans="1:4" customFormat="1" ht="15.75" hidden="1" thickBot="1">
      <c r="A256" t="s">
        <v>50</v>
      </c>
      <c r="B256" t="str">
        <f>"10673342233492715896"</f>
        <v>10673342233492715896</v>
      </c>
      <c r="C256" t="s">
        <v>368</v>
      </c>
      <c r="D256" t="s">
        <v>8</v>
      </c>
    </row>
    <row r="257" spans="1:4" customFormat="1" ht="15.75" hidden="1" thickBot="1">
      <c r="A257" t="s">
        <v>52</v>
      </c>
      <c r="B257" t="str">
        <f>"10673342233489727637"</f>
        <v>10673342233489727637</v>
      </c>
      <c r="C257" t="s">
        <v>369</v>
      </c>
      <c r="D257" t="s">
        <v>8</v>
      </c>
    </row>
    <row r="258" spans="1:4" customFormat="1" ht="15.75" hidden="1" thickBot="1">
      <c r="A258" t="s">
        <v>54</v>
      </c>
      <c r="B258" t="str">
        <f>"10673342233489651691"</f>
        <v>10673342233489651691</v>
      </c>
      <c r="C258" t="s">
        <v>370</v>
      </c>
      <c r="D258" t="s">
        <v>8</v>
      </c>
    </row>
    <row r="259" spans="1:4" customFormat="1" ht="15.75" hidden="1" thickBot="1">
      <c r="A259" t="s">
        <v>56</v>
      </c>
      <c r="B259" t="str">
        <f>"10673342233489563006"</f>
        <v>10673342233489563006</v>
      </c>
      <c r="C259" t="s">
        <v>371</v>
      </c>
      <c r="D259" t="s">
        <v>8</v>
      </c>
    </row>
    <row r="260" spans="1:4" customFormat="1" ht="15.75" hidden="1" thickBot="1">
      <c r="A260" t="s">
        <v>58</v>
      </c>
      <c r="B260" t="str">
        <f>"10673342233490013138"</f>
        <v>10673342233490013138</v>
      </c>
      <c r="C260" t="s">
        <v>372</v>
      </c>
      <c r="D260" t="s">
        <v>8</v>
      </c>
    </row>
    <row r="261" spans="1:4" customFormat="1" ht="15.75" hidden="1" thickBot="1">
      <c r="A261" t="s">
        <v>60</v>
      </c>
      <c r="B261" t="str">
        <f>"10673342233489902927"</f>
        <v>10673342233489902927</v>
      </c>
      <c r="C261" t="s">
        <v>373</v>
      </c>
      <c r="D261" t="s">
        <v>8</v>
      </c>
    </row>
    <row r="262" spans="1:4" customFormat="1" ht="15.75" hidden="1" thickBot="1">
      <c r="A262" t="s">
        <v>61</v>
      </c>
      <c r="B262" t="str">
        <f>"10673342233490466345"</f>
        <v>10673342233490466345</v>
      </c>
      <c r="C262" t="s">
        <v>374</v>
      </c>
      <c r="D262" t="s">
        <v>8</v>
      </c>
    </row>
    <row r="263" spans="1:4" customFormat="1" ht="15.75" hidden="1" thickBot="1">
      <c r="A263" t="s">
        <v>63</v>
      </c>
      <c r="B263" t="str">
        <f>"10673342233490332470"</f>
        <v>10673342233490332470</v>
      </c>
      <c r="C263" t="s">
        <v>375</v>
      </c>
      <c r="D263" t="s">
        <v>8</v>
      </c>
    </row>
    <row r="264" spans="1:4" customFormat="1" ht="15.75" hidden="1" thickBot="1">
      <c r="A264" t="s">
        <v>65</v>
      </c>
      <c r="B264" t="str">
        <f>"10673342233490974073"</f>
        <v>10673342233490974073</v>
      </c>
      <c r="C264" t="s">
        <v>376</v>
      </c>
      <c r="D264" t="s">
        <v>8</v>
      </c>
    </row>
    <row r="265" spans="1:4" customFormat="1" ht="15.75" hidden="1" thickBot="1">
      <c r="A265" t="s">
        <v>67</v>
      </c>
      <c r="B265" t="str">
        <f>"10673342233490910849"</f>
        <v>10673342233490910849</v>
      </c>
      <c r="C265" t="s">
        <v>377</v>
      </c>
      <c r="D265" t="s">
        <v>8</v>
      </c>
    </row>
    <row r="266" spans="1:4" customFormat="1" ht="15.75" hidden="1" thickBot="1">
      <c r="A266" t="s">
        <v>69</v>
      </c>
      <c r="B266" t="str">
        <f>"10673342233403104733"</f>
        <v>10673342233403104733</v>
      </c>
      <c r="C266" t="s">
        <v>378</v>
      </c>
      <c r="D266" t="s">
        <v>8</v>
      </c>
    </row>
    <row r="267" spans="1:4" customFormat="1" ht="15.75" hidden="1" thickBot="1">
      <c r="A267" t="s">
        <v>71</v>
      </c>
      <c r="B267" t="str">
        <f>"10673342233491366646"</f>
        <v>10673342233491366646</v>
      </c>
      <c r="C267" t="s">
        <v>379</v>
      </c>
      <c r="D267" t="s">
        <v>8</v>
      </c>
    </row>
    <row r="268" spans="1:4" customFormat="1" ht="15.75" hidden="1" thickBot="1">
      <c r="A268" t="s">
        <v>73</v>
      </c>
      <c r="B268" t="str">
        <f>"10673342233491227859"</f>
        <v>10673342233491227859</v>
      </c>
      <c r="C268" t="s">
        <v>380</v>
      </c>
      <c r="D268" t="s">
        <v>8</v>
      </c>
    </row>
    <row r="269" spans="1:4" customFormat="1" ht="15.75" hidden="1" thickBot="1">
      <c r="A269" t="s">
        <v>91</v>
      </c>
      <c r="B269" t="str">
        <f>"10673342233403102838"</f>
        <v>10673342233403102838</v>
      </c>
      <c r="C269" t="s">
        <v>381</v>
      </c>
      <c r="D269" t="s">
        <v>8</v>
      </c>
    </row>
    <row r="270" spans="1:4" customFormat="1" ht="15.75" hidden="1" thickBot="1">
      <c r="A270" t="s">
        <v>112</v>
      </c>
      <c r="B270" t="str">
        <f>"10673342233403104733"</f>
        <v>10673342233403104733</v>
      </c>
      <c r="C270" t="s">
        <v>378</v>
      </c>
      <c r="D270" t="s">
        <v>8</v>
      </c>
    </row>
    <row r="271" spans="1:4" customFormat="1" ht="15.75" hidden="1" thickBot="1">
      <c r="A271" t="s">
        <v>134</v>
      </c>
      <c r="B271" t="str">
        <f>"10673342233403102838"</f>
        <v>10673342233403102838</v>
      </c>
      <c r="C271" t="s">
        <v>381</v>
      </c>
      <c r="D271" t="s">
        <v>8</v>
      </c>
    </row>
    <row r="272" spans="1:4" customFormat="1" ht="15.75" hidden="1" thickBot="1">
      <c r="A272" t="s">
        <v>155</v>
      </c>
      <c r="B272" t="str">
        <f>"10673342233401199427"</f>
        <v>10673342233401199427</v>
      </c>
      <c r="C272" t="s">
        <v>351</v>
      </c>
      <c r="D272" t="s">
        <v>8</v>
      </c>
    </row>
    <row r="273" spans="1:6" customFormat="1" ht="15.75" hidden="1" thickBot="1">
      <c r="A273" t="s">
        <v>245</v>
      </c>
      <c r="B273" t="str">
        <f>"10673342233404244792"</f>
        <v>10673342233404244792</v>
      </c>
      <c r="C273" t="s">
        <v>349</v>
      </c>
      <c r="D273" t="s">
        <v>8</v>
      </c>
    </row>
    <row r="274" spans="1:6" customFormat="1" ht="15.75" hidden="1" thickBot="1">
      <c r="A274" t="s">
        <v>382</v>
      </c>
      <c r="B274" t="str">
        <f>"10673342253420053392"</f>
        <v>10673342253420053392</v>
      </c>
      <c r="C274" t="s">
        <v>382</v>
      </c>
      <c r="D274" t="s">
        <v>383</v>
      </c>
      <c r="E274" t="s">
        <v>382</v>
      </c>
      <c r="F274" t="s">
        <v>384</v>
      </c>
    </row>
    <row r="275" spans="1:6" customFormat="1" ht="15.75" hidden="1" thickBot="1">
      <c r="A275" t="s">
        <v>382</v>
      </c>
      <c r="B275" t="str">
        <f>"10673342253420218057"</f>
        <v>10673342253420218057</v>
      </c>
      <c r="C275" t="s">
        <v>382</v>
      </c>
      <c r="D275" t="s">
        <v>383</v>
      </c>
      <c r="E275" t="s">
        <v>382</v>
      </c>
      <c r="F275" t="s">
        <v>384</v>
      </c>
    </row>
    <row r="276" spans="1:6" customFormat="1" ht="15.75" hidden="1" thickBot="1">
      <c r="A276" t="s">
        <v>382</v>
      </c>
      <c r="B276" t="str">
        <f>"10673342253420660752"</f>
        <v>10673342253420660752</v>
      </c>
      <c r="C276" t="s">
        <v>382</v>
      </c>
      <c r="D276" t="s">
        <v>383</v>
      </c>
      <c r="E276" t="s">
        <v>382</v>
      </c>
      <c r="F276" t="s">
        <v>384</v>
      </c>
    </row>
    <row r="277" spans="1:6" customFormat="1" ht="15.75" hidden="1" thickBot="1">
      <c r="A277" t="s">
        <v>382</v>
      </c>
      <c r="B277" t="str">
        <f>"10673342253421298291"</f>
        <v>10673342253421298291</v>
      </c>
      <c r="C277" t="s">
        <v>382</v>
      </c>
      <c r="D277" t="s">
        <v>383</v>
      </c>
      <c r="E277" t="s">
        <v>382</v>
      </c>
      <c r="F277" t="s">
        <v>384</v>
      </c>
    </row>
    <row r="278" spans="1:6" customFormat="1" ht="15.75" hidden="1" thickBot="1">
      <c r="A278" t="s">
        <v>382</v>
      </c>
      <c r="B278" t="str">
        <f>"10677462254008400355"</f>
        <v>10677462254008400355</v>
      </c>
      <c r="C278" t="s">
        <v>382</v>
      </c>
      <c r="D278" t="s">
        <v>383</v>
      </c>
      <c r="E278" t="s">
        <v>382</v>
      </c>
      <c r="F278" t="s">
        <v>385</v>
      </c>
    </row>
    <row r="279" spans="1:6" customFormat="1" ht="15.75" hidden="1" thickBot="1">
      <c r="A279" t="s">
        <v>382</v>
      </c>
      <c r="B279" t="str">
        <f>"10677462254008806173"</f>
        <v>10677462254008806173</v>
      </c>
      <c r="C279" t="s">
        <v>382</v>
      </c>
      <c r="D279" t="s">
        <v>383</v>
      </c>
      <c r="E279" t="s">
        <v>382</v>
      </c>
      <c r="F279" t="s">
        <v>385</v>
      </c>
    </row>
    <row r="280" spans="1:6" customFormat="1" ht="15.75" hidden="1" thickBot="1">
      <c r="A280" t="s">
        <v>382</v>
      </c>
      <c r="B280" t="str">
        <f>"10677462254008896709"</f>
        <v>10677462254008896709</v>
      </c>
      <c r="C280" t="s">
        <v>382</v>
      </c>
      <c r="D280" t="s">
        <v>383</v>
      </c>
      <c r="E280" t="s">
        <v>382</v>
      </c>
      <c r="F280" t="s">
        <v>385</v>
      </c>
    </row>
    <row r="281" spans="1:6" customFormat="1" ht="15.75" hidden="1" thickBot="1">
      <c r="A281" t="s">
        <v>382</v>
      </c>
      <c r="B281" t="str">
        <f>"10677462254009623544"</f>
        <v>10677462254009623544</v>
      </c>
      <c r="C281" t="s">
        <v>382</v>
      </c>
      <c r="D281" t="s">
        <v>383</v>
      </c>
      <c r="E281" t="s">
        <v>382</v>
      </c>
      <c r="F281" t="s">
        <v>385</v>
      </c>
    </row>
    <row r="282" spans="1:6" customFormat="1" ht="15.75" hidden="1" thickBot="1">
      <c r="A282" t="s">
        <v>382</v>
      </c>
      <c r="B282" t="str">
        <f>"10677462254005857117"</f>
        <v>10677462254005857117</v>
      </c>
      <c r="C282" t="s">
        <v>382</v>
      </c>
      <c r="D282" t="s">
        <v>383</v>
      </c>
      <c r="E282" t="s">
        <v>382</v>
      </c>
      <c r="F282" t="s">
        <v>386</v>
      </c>
    </row>
    <row r="283" spans="1:6" customFormat="1" ht="15.75" hidden="1" thickBot="1">
      <c r="A283" t="s">
        <v>382</v>
      </c>
      <c r="B283" t="str">
        <f>"10677462254005910077"</f>
        <v>10677462254005910077</v>
      </c>
      <c r="C283" t="s">
        <v>382</v>
      </c>
      <c r="D283" t="s">
        <v>383</v>
      </c>
      <c r="E283" t="s">
        <v>382</v>
      </c>
      <c r="F283" t="s">
        <v>386</v>
      </c>
    </row>
    <row r="284" spans="1:6" customFormat="1" ht="15.75" hidden="1" thickBot="1">
      <c r="A284" t="s">
        <v>382</v>
      </c>
      <c r="B284" t="str">
        <f>"10677462254006064676"</f>
        <v>10677462254006064676</v>
      </c>
      <c r="C284" t="s">
        <v>382</v>
      </c>
      <c r="D284" t="s">
        <v>383</v>
      </c>
      <c r="E284" t="s">
        <v>382</v>
      </c>
      <c r="F284" t="s">
        <v>386</v>
      </c>
    </row>
    <row r="285" spans="1:6" customFormat="1" ht="15.75" hidden="1" thickBot="1">
      <c r="A285" t="s">
        <v>382</v>
      </c>
      <c r="B285" t="str">
        <f>"10677462254006380543"</f>
        <v>10677462254006380543</v>
      </c>
      <c r="C285" t="s">
        <v>382</v>
      </c>
      <c r="D285" t="s">
        <v>383</v>
      </c>
      <c r="E285" t="s">
        <v>382</v>
      </c>
      <c r="F285" t="s">
        <v>386</v>
      </c>
    </row>
    <row r="286" spans="1:6" customFormat="1" ht="15.75" hidden="1" thickBot="1">
      <c r="A286" t="s">
        <v>382</v>
      </c>
      <c r="B286" t="str">
        <f>"10677462254013011906"</f>
        <v>10677462254013011906</v>
      </c>
      <c r="C286" t="s">
        <v>382</v>
      </c>
      <c r="D286" t="s">
        <v>383</v>
      </c>
      <c r="E286" t="s">
        <v>382</v>
      </c>
      <c r="F286" t="s">
        <v>387</v>
      </c>
    </row>
    <row r="287" spans="1:6" customFormat="1" ht="15.75" hidden="1" thickBot="1">
      <c r="A287" t="s">
        <v>382</v>
      </c>
      <c r="B287" t="str">
        <f>"10677462254013222338"</f>
        <v>10677462254013222338</v>
      </c>
      <c r="C287" t="s">
        <v>382</v>
      </c>
      <c r="D287" t="s">
        <v>383</v>
      </c>
      <c r="E287" t="s">
        <v>382</v>
      </c>
      <c r="F287" t="s">
        <v>387</v>
      </c>
    </row>
    <row r="288" spans="1:6" customFormat="1" ht="15.75" hidden="1" thickBot="1">
      <c r="A288" t="s">
        <v>382</v>
      </c>
      <c r="B288" t="str">
        <f>"10677462254013266203"</f>
        <v>10677462254013266203</v>
      </c>
      <c r="C288" t="s">
        <v>382</v>
      </c>
      <c r="D288" t="s">
        <v>383</v>
      </c>
      <c r="E288" t="s">
        <v>382</v>
      </c>
      <c r="F288" t="s">
        <v>387</v>
      </c>
    </row>
    <row r="289" spans="1:6" customFormat="1" ht="15.75" hidden="1" thickBot="1">
      <c r="A289" t="s">
        <v>382</v>
      </c>
      <c r="B289" t="str">
        <f>"10677462254013356393"</f>
        <v>10677462254013356393</v>
      </c>
      <c r="C289" t="s">
        <v>382</v>
      </c>
      <c r="D289" t="s">
        <v>383</v>
      </c>
      <c r="E289" t="s">
        <v>382</v>
      </c>
      <c r="F289" t="s">
        <v>387</v>
      </c>
    </row>
    <row r="290" spans="1:6" customFormat="1" ht="15.75" hidden="1" thickBot="1">
      <c r="A290" t="s">
        <v>382</v>
      </c>
      <c r="B290" t="str">
        <f>"10677462254011759873"</f>
        <v>10677462254011759873</v>
      </c>
      <c r="C290" t="s">
        <v>382</v>
      </c>
      <c r="D290" t="s">
        <v>383</v>
      </c>
      <c r="E290" t="s">
        <v>382</v>
      </c>
      <c r="F290" t="s">
        <v>388</v>
      </c>
    </row>
    <row r="291" spans="1:6" customFormat="1" ht="15.75" hidden="1" thickBot="1">
      <c r="A291" t="s">
        <v>382</v>
      </c>
      <c r="B291" t="str">
        <f>"10677462254011937046"</f>
        <v>10677462254011937046</v>
      </c>
      <c r="C291" t="s">
        <v>382</v>
      </c>
      <c r="D291" t="s">
        <v>383</v>
      </c>
      <c r="E291" t="s">
        <v>382</v>
      </c>
      <c r="F291" t="s">
        <v>388</v>
      </c>
    </row>
    <row r="292" spans="1:6" customFormat="1" ht="15.75" hidden="1" thickBot="1">
      <c r="A292" t="s">
        <v>382</v>
      </c>
      <c r="B292" t="str">
        <f>"10677462254012257916"</f>
        <v>10677462254012257916</v>
      </c>
      <c r="C292" t="s">
        <v>382</v>
      </c>
      <c r="D292" t="s">
        <v>383</v>
      </c>
      <c r="E292" t="s">
        <v>382</v>
      </c>
      <c r="F292" t="s">
        <v>388</v>
      </c>
    </row>
    <row r="293" spans="1:6" customFormat="1" ht="15.75" hidden="1" thickBot="1">
      <c r="A293" t="s">
        <v>382</v>
      </c>
      <c r="B293" t="str">
        <f>"10677462254012354176"</f>
        <v>10677462254012354176</v>
      </c>
      <c r="C293" t="s">
        <v>382</v>
      </c>
      <c r="D293" t="s">
        <v>383</v>
      </c>
      <c r="E293" t="s">
        <v>382</v>
      </c>
      <c r="F293" t="s">
        <v>388</v>
      </c>
    </row>
    <row r="294" spans="1:6" customFormat="1" ht="15.75" hidden="1" thickBot="1">
      <c r="A294" t="s">
        <v>382</v>
      </c>
      <c r="B294" t="str">
        <f>"10677462254014625169"</f>
        <v>10677462254014625169</v>
      </c>
      <c r="C294" t="s">
        <v>382</v>
      </c>
      <c r="D294" t="s">
        <v>383</v>
      </c>
      <c r="E294" t="s">
        <v>382</v>
      </c>
      <c r="F294" t="s">
        <v>389</v>
      </c>
    </row>
    <row r="295" spans="1:6" customFormat="1" ht="15.75" hidden="1" thickBot="1">
      <c r="A295" t="s">
        <v>382</v>
      </c>
      <c r="B295" t="str">
        <f>"10677462254014639364"</f>
        <v>10677462254014639364</v>
      </c>
      <c r="C295" t="s">
        <v>382</v>
      </c>
      <c r="D295" t="s">
        <v>383</v>
      </c>
      <c r="E295" t="s">
        <v>382</v>
      </c>
      <c r="F295" t="s">
        <v>389</v>
      </c>
    </row>
    <row r="296" spans="1:6" customFormat="1" ht="15.75" hidden="1" thickBot="1">
      <c r="A296" t="s">
        <v>382</v>
      </c>
      <c r="B296" t="str">
        <f>"10677462254014954125"</f>
        <v>10677462254014954125</v>
      </c>
      <c r="C296" t="s">
        <v>382</v>
      </c>
      <c r="D296" t="s">
        <v>383</v>
      </c>
      <c r="E296" t="s">
        <v>382</v>
      </c>
      <c r="F296" t="s">
        <v>389</v>
      </c>
    </row>
    <row r="297" spans="1:6" customFormat="1" ht="15.75" hidden="1" thickBot="1">
      <c r="A297" t="s">
        <v>382</v>
      </c>
      <c r="B297" t="str">
        <f>"10677462254015322518"</f>
        <v>10677462254015322518</v>
      </c>
      <c r="C297" t="s">
        <v>382</v>
      </c>
      <c r="D297" t="s">
        <v>383</v>
      </c>
      <c r="E297" t="s">
        <v>382</v>
      </c>
      <c r="F297" t="s">
        <v>389</v>
      </c>
    </row>
    <row r="298" spans="1:6" customFormat="1" ht="15.75" hidden="1" thickBot="1">
      <c r="A298" t="s">
        <v>382</v>
      </c>
      <c r="B298" t="str">
        <f>"10677462254021233645"</f>
        <v>10677462254021233645</v>
      </c>
      <c r="C298" t="s">
        <v>382</v>
      </c>
      <c r="D298" t="s">
        <v>383</v>
      </c>
      <c r="E298" t="s">
        <v>382</v>
      </c>
      <c r="F298" t="s">
        <v>390</v>
      </c>
    </row>
    <row r="299" spans="1:6" customFormat="1" ht="15.75" hidden="1" thickBot="1">
      <c r="A299" t="s">
        <v>382</v>
      </c>
      <c r="B299" t="str">
        <f>"10677462254021319663"</f>
        <v>10677462254021319663</v>
      </c>
      <c r="C299" t="s">
        <v>382</v>
      </c>
      <c r="D299" t="s">
        <v>383</v>
      </c>
      <c r="E299" t="s">
        <v>382</v>
      </c>
      <c r="F299" t="s">
        <v>390</v>
      </c>
    </row>
    <row r="300" spans="1:6" customFormat="1" ht="15.75" hidden="1" thickBot="1">
      <c r="A300" t="s">
        <v>382</v>
      </c>
      <c r="B300" t="str">
        <f>"10677462254021622099"</f>
        <v>10677462254021622099</v>
      </c>
      <c r="C300" t="s">
        <v>382</v>
      </c>
      <c r="D300" t="s">
        <v>383</v>
      </c>
      <c r="E300" t="s">
        <v>382</v>
      </c>
      <c r="F300" t="s">
        <v>390</v>
      </c>
    </row>
    <row r="301" spans="1:6" customFormat="1" ht="15.75" hidden="1" thickBot="1">
      <c r="A301" t="s">
        <v>382</v>
      </c>
      <c r="B301" t="str">
        <f>"10677462254021831216"</f>
        <v>10677462254021831216</v>
      </c>
      <c r="C301" t="s">
        <v>382</v>
      </c>
      <c r="D301" t="s">
        <v>383</v>
      </c>
      <c r="E301" t="s">
        <v>382</v>
      </c>
      <c r="F301" t="s">
        <v>390</v>
      </c>
    </row>
    <row r="302" spans="1:6" customFormat="1" ht="15.75" hidden="1" thickBot="1">
      <c r="A302" t="s">
        <v>382</v>
      </c>
      <c r="B302" t="str">
        <f>"10677462254022018292"</f>
        <v>10677462254022018292</v>
      </c>
      <c r="C302" t="s">
        <v>382</v>
      </c>
      <c r="D302" t="s">
        <v>383</v>
      </c>
      <c r="E302" t="s">
        <v>382</v>
      </c>
      <c r="F302" t="s">
        <v>391</v>
      </c>
    </row>
    <row r="303" spans="1:6" customFormat="1" ht="15.75" hidden="1" thickBot="1">
      <c r="A303" t="s">
        <v>382</v>
      </c>
      <c r="B303" t="str">
        <f>"10677462254022045947"</f>
        <v>10677462254022045947</v>
      </c>
      <c r="C303" t="s">
        <v>382</v>
      </c>
      <c r="D303" t="s">
        <v>383</v>
      </c>
      <c r="E303" t="s">
        <v>382</v>
      </c>
      <c r="F303" t="s">
        <v>391</v>
      </c>
    </row>
    <row r="304" spans="1:6" customFormat="1" ht="15.75" hidden="1" thickBot="1">
      <c r="A304" t="s">
        <v>382</v>
      </c>
      <c r="B304" t="str">
        <f>"10677462254022064936"</f>
        <v>10677462254022064936</v>
      </c>
      <c r="C304" t="s">
        <v>382</v>
      </c>
      <c r="D304" t="s">
        <v>383</v>
      </c>
      <c r="E304" t="s">
        <v>382</v>
      </c>
      <c r="F304" t="s">
        <v>391</v>
      </c>
    </row>
    <row r="305" spans="1:6" customFormat="1" ht="15.75" hidden="1" thickBot="1">
      <c r="A305" t="s">
        <v>382</v>
      </c>
      <c r="B305" t="str">
        <f>"10677462254022495589"</f>
        <v>10677462254022495589</v>
      </c>
      <c r="C305" t="s">
        <v>382</v>
      </c>
      <c r="D305" t="s">
        <v>383</v>
      </c>
      <c r="E305" t="s">
        <v>382</v>
      </c>
      <c r="F305" t="s">
        <v>391</v>
      </c>
    </row>
    <row r="306" spans="1:6" customFormat="1" ht="15.75" hidden="1" thickBot="1">
      <c r="A306" t="s">
        <v>382</v>
      </c>
      <c r="B306" t="str">
        <f>"10677462254023450945"</f>
        <v>10677462254023450945</v>
      </c>
      <c r="C306" t="s">
        <v>382</v>
      </c>
      <c r="D306" t="s">
        <v>383</v>
      </c>
      <c r="E306" t="s">
        <v>382</v>
      </c>
      <c r="F306" t="s">
        <v>392</v>
      </c>
    </row>
    <row r="307" spans="1:6" customFormat="1" ht="15.75" hidden="1" thickBot="1">
      <c r="A307" t="s">
        <v>382</v>
      </c>
      <c r="B307" t="str">
        <f>"10677462254023477487"</f>
        <v>10677462254023477487</v>
      </c>
      <c r="C307" t="s">
        <v>382</v>
      </c>
      <c r="D307" t="s">
        <v>383</v>
      </c>
      <c r="E307" t="s">
        <v>382</v>
      </c>
      <c r="F307" t="s">
        <v>392</v>
      </c>
    </row>
    <row r="308" spans="1:6" customFormat="1" ht="15.75" hidden="1" thickBot="1">
      <c r="A308" t="s">
        <v>382</v>
      </c>
      <c r="B308" t="str">
        <f>"10677462254023624420"</f>
        <v>10677462254023624420</v>
      </c>
      <c r="C308" t="s">
        <v>382</v>
      </c>
      <c r="D308" t="s">
        <v>383</v>
      </c>
      <c r="E308" t="s">
        <v>382</v>
      </c>
      <c r="F308" t="s">
        <v>392</v>
      </c>
    </row>
    <row r="309" spans="1:6" customFormat="1" ht="15.75" hidden="1" thickBot="1">
      <c r="A309" t="s">
        <v>382</v>
      </c>
      <c r="B309" t="str">
        <f>"10677462254024146212"</f>
        <v>10677462254024146212</v>
      </c>
      <c r="C309" t="s">
        <v>382</v>
      </c>
      <c r="D309" t="s">
        <v>383</v>
      </c>
      <c r="E309" t="s">
        <v>382</v>
      </c>
      <c r="F309" t="s">
        <v>392</v>
      </c>
    </row>
    <row r="310" spans="1:6" customFormat="1" ht="15.75" hidden="1" thickBot="1">
      <c r="A310" t="s">
        <v>382</v>
      </c>
      <c r="B310" t="str">
        <f>"10673342253422967979"</f>
        <v>10673342253422967979</v>
      </c>
      <c r="C310" t="s">
        <v>382</v>
      </c>
      <c r="D310" t="s">
        <v>383</v>
      </c>
      <c r="E310" t="s">
        <v>382</v>
      </c>
      <c r="F310" t="s">
        <v>393</v>
      </c>
    </row>
    <row r="311" spans="1:6" customFormat="1" ht="15.75" hidden="1" thickBot="1">
      <c r="A311" t="s">
        <v>382</v>
      </c>
      <c r="B311" t="str">
        <f>"10673342253423125041"</f>
        <v>10673342253423125041</v>
      </c>
      <c r="C311" t="s">
        <v>382</v>
      </c>
      <c r="D311" t="s">
        <v>383</v>
      </c>
      <c r="E311" t="s">
        <v>382</v>
      </c>
      <c r="F311" t="s">
        <v>393</v>
      </c>
    </row>
    <row r="312" spans="1:6" customFormat="1" ht="15.75" hidden="1" thickBot="1">
      <c r="A312" t="s">
        <v>382</v>
      </c>
      <c r="B312" t="str">
        <f>"10673342253423131645"</f>
        <v>10673342253423131645</v>
      </c>
      <c r="C312" t="s">
        <v>382</v>
      </c>
      <c r="D312" t="s">
        <v>383</v>
      </c>
      <c r="E312" t="s">
        <v>382</v>
      </c>
      <c r="F312" t="s">
        <v>393</v>
      </c>
    </row>
    <row r="313" spans="1:6" customFormat="1" ht="15.75" hidden="1" thickBot="1">
      <c r="A313" t="s">
        <v>382</v>
      </c>
      <c r="B313" t="str">
        <f>"10673342253423852008"</f>
        <v>10673342253423852008</v>
      </c>
      <c r="C313" t="s">
        <v>382</v>
      </c>
      <c r="D313" t="s">
        <v>383</v>
      </c>
      <c r="E313" t="s">
        <v>382</v>
      </c>
      <c r="F313" t="s">
        <v>393</v>
      </c>
    </row>
    <row r="314" spans="1:6" customFormat="1" ht="15.75" hidden="1" thickBot="1">
      <c r="A314" t="s">
        <v>382</v>
      </c>
      <c r="B314" t="str">
        <f>"10673342253428668221"</f>
        <v>10673342253428668221</v>
      </c>
      <c r="C314" t="s">
        <v>382</v>
      </c>
      <c r="D314" t="s">
        <v>383</v>
      </c>
      <c r="E314" t="s">
        <v>382</v>
      </c>
      <c r="F314" t="s">
        <v>394</v>
      </c>
    </row>
    <row r="315" spans="1:6" customFormat="1" ht="15.75" hidden="1" thickBot="1">
      <c r="A315" t="s">
        <v>382</v>
      </c>
      <c r="B315" t="str">
        <f>"10673342253428837619"</f>
        <v>10673342253428837619</v>
      </c>
      <c r="C315" t="s">
        <v>382</v>
      </c>
      <c r="D315" t="s">
        <v>383</v>
      </c>
      <c r="E315" t="s">
        <v>382</v>
      </c>
      <c r="F315" t="s">
        <v>394</v>
      </c>
    </row>
    <row r="316" spans="1:6" customFormat="1" ht="15.75" hidden="1" thickBot="1">
      <c r="A316" t="s">
        <v>382</v>
      </c>
      <c r="B316" t="str">
        <f>"10673342253428846588"</f>
        <v>10673342253428846588</v>
      </c>
      <c r="C316" t="s">
        <v>382</v>
      </c>
      <c r="D316" t="s">
        <v>383</v>
      </c>
      <c r="E316" t="s">
        <v>382</v>
      </c>
      <c r="F316" t="s">
        <v>394</v>
      </c>
    </row>
    <row r="317" spans="1:6" customFormat="1" ht="15.75" hidden="1" thickBot="1">
      <c r="A317" t="s">
        <v>382</v>
      </c>
      <c r="B317" t="str">
        <f>"10673342253429156844"</f>
        <v>10673342253429156844</v>
      </c>
      <c r="C317" t="s">
        <v>382</v>
      </c>
      <c r="D317" t="s">
        <v>383</v>
      </c>
      <c r="E317" t="s">
        <v>382</v>
      </c>
      <c r="F317" t="s">
        <v>394</v>
      </c>
    </row>
    <row r="318" spans="1:6" customFormat="1" ht="15.75" hidden="1" thickBot="1">
      <c r="A318" t="s">
        <v>382</v>
      </c>
      <c r="B318" t="str">
        <f>"10673342253429176772"</f>
        <v>10673342253429176772</v>
      </c>
      <c r="C318" t="s">
        <v>382</v>
      </c>
      <c r="D318" t="s">
        <v>383</v>
      </c>
      <c r="E318" t="s">
        <v>382</v>
      </c>
      <c r="F318" t="s">
        <v>395</v>
      </c>
    </row>
    <row r="319" spans="1:6" customFormat="1" ht="15.75" hidden="1" thickBot="1">
      <c r="A319" t="s">
        <v>382</v>
      </c>
      <c r="B319" t="str">
        <f>"10673342253429187790"</f>
        <v>10673342253429187790</v>
      </c>
      <c r="C319" t="s">
        <v>382</v>
      </c>
      <c r="D319" t="s">
        <v>383</v>
      </c>
      <c r="E319" t="s">
        <v>382</v>
      </c>
      <c r="F319" t="s">
        <v>395</v>
      </c>
    </row>
    <row r="320" spans="1:6" customFormat="1" ht="15.75" hidden="1" thickBot="1">
      <c r="A320" t="s">
        <v>382</v>
      </c>
      <c r="B320" t="str">
        <f>"10673342253429251189"</f>
        <v>10673342253429251189</v>
      </c>
      <c r="C320" t="s">
        <v>382</v>
      </c>
      <c r="D320" t="s">
        <v>383</v>
      </c>
      <c r="E320" t="s">
        <v>382</v>
      </c>
      <c r="F320" t="s">
        <v>395</v>
      </c>
    </row>
    <row r="321" spans="1:6" customFormat="1" ht="15.75" hidden="1" thickBot="1">
      <c r="A321" t="s">
        <v>382</v>
      </c>
      <c r="B321" t="str">
        <f>"10673342253429380825"</f>
        <v>10673342253429380825</v>
      </c>
      <c r="C321" t="s">
        <v>382</v>
      </c>
      <c r="D321" t="s">
        <v>383</v>
      </c>
      <c r="E321" t="s">
        <v>382</v>
      </c>
      <c r="F321" t="s">
        <v>395</v>
      </c>
    </row>
    <row r="322" spans="1:6" customFormat="1" ht="15.75" hidden="1" thickBot="1">
      <c r="A322" t="s">
        <v>382</v>
      </c>
      <c r="B322" t="str">
        <f>"10673342253433421050"</f>
        <v>10673342253433421050</v>
      </c>
      <c r="C322" t="s">
        <v>382</v>
      </c>
      <c r="D322" t="s">
        <v>383</v>
      </c>
      <c r="E322" t="s">
        <v>382</v>
      </c>
      <c r="F322" t="s">
        <v>396</v>
      </c>
    </row>
    <row r="323" spans="1:6" customFormat="1" ht="15.75" hidden="1" thickBot="1">
      <c r="A323" t="s">
        <v>382</v>
      </c>
      <c r="B323" t="str">
        <f>"10673342253433502596"</f>
        <v>10673342253433502596</v>
      </c>
      <c r="C323" t="s">
        <v>382</v>
      </c>
      <c r="D323" t="s">
        <v>383</v>
      </c>
      <c r="E323" t="s">
        <v>382</v>
      </c>
      <c r="F323" t="s">
        <v>396</v>
      </c>
    </row>
    <row r="324" spans="1:6" customFormat="1" ht="15.75" hidden="1" thickBot="1">
      <c r="A324" t="s">
        <v>382</v>
      </c>
      <c r="B324" t="str">
        <f>"10673342253434075113"</f>
        <v>10673342253434075113</v>
      </c>
      <c r="C324" t="s">
        <v>382</v>
      </c>
      <c r="D324" t="s">
        <v>383</v>
      </c>
      <c r="E324" t="s">
        <v>382</v>
      </c>
      <c r="F324" t="s">
        <v>396</v>
      </c>
    </row>
    <row r="325" spans="1:6" customFormat="1" ht="15.75" hidden="1" thickBot="1">
      <c r="A325" t="s">
        <v>382</v>
      </c>
      <c r="B325" t="str">
        <f>"10673342253434869829"</f>
        <v>10673342253434869829</v>
      </c>
      <c r="C325" t="s">
        <v>382</v>
      </c>
      <c r="D325" t="s">
        <v>383</v>
      </c>
      <c r="E325" t="s">
        <v>382</v>
      </c>
      <c r="F325" t="s">
        <v>396</v>
      </c>
    </row>
    <row r="326" spans="1:6" customFormat="1" ht="15.75" hidden="1" thickBot="1">
      <c r="A326" t="s">
        <v>382</v>
      </c>
      <c r="B326" t="str">
        <f>"10673342253439165269"</f>
        <v>10673342253439165269</v>
      </c>
      <c r="C326" t="s">
        <v>382</v>
      </c>
      <c r="D326" t="s">
        <v>383</v>
      </c>
      <c r="E326" t="s">
        <v>382</v>
      </c>
      <c r="F326" t="s">
        <v>397</v>
      </c>
    </row>
    <row r="327" spans="1:6" customFormat="1" ht="15.75" hidden="1" thickBot="1">
      <c r="A327" t="s">
        <v>382</v>
      </c>
      <c r="B327" t="str">
        <f>"10673342253439388225"</f>
        <v>10673342253439388225</v>
      </c>
      <c r="C327" t="s">
        <v>382</v>
      </c>
      <c r="D327" t="s">
        <v>383</v>
      </c>
      <c r="E327" t="s">
        <v>382</v>
      </c>
      <c r="F327" t="s">
        <v>397</v>
      </c>
    </row>
    <row r="328" spans="1:6" customFormat="1" ht="15.75" hidden="1" thickBot="1">
      <c r="A328" t="s">
        <v>382</v>
      </c>
      <c r="B328" t="str">
        <f>"10673342253439546068"</f>
        <v>10673342253439546068</v>
      </c>
      <c r="C328" t="s">
        <v>382</v>
      </c>
      <c r="D328" t="s">
        <v>383</v>
      </c>
      <c r="E328" t="s">
        <v>382</v>
      </c>
      <c r="F328" t="s">
        <v>397</v>
      </c>
    </row>
    <row r="329" spans="1:6" customFormat="1" ht="15.75" hidden="1" thickBot="1">
      <c r="A329" t="s">
        <v>382</v>
      </c>
      <c r="B329" t="str">
        <f>"10673342253439587821"</f>
        <v>10673342253439587821</v>
      </c>
      <c r="C329" t="s">
        <v>382</v>
      </c>
      <c r="D329" t="s">
        <v>383</v>
      </c>
      <c r="E329" t="s">
        <v>382</v>
      </c>
      <c r="F329" t="s">
        <v>397</v>
      </c>
    </row>
    <row r="330" spans="1:6" customFormat="1" ht="15.75" hidden="1" thickBot="1">
      <c r="A330" t="s">
        <v>382</v>
      </c>
      <c r="B330" t="str">
        <f>"10673342253439937156"</f>
        <v>10673342253439937156</v>
      </c>
      <c r="C330" t="s">
        <v>382</v>
      </c>
      <c r="D330" t="s">
        <v>383</v>
      </c>
      <c r="E330" t="s">
        <v>382</v>
      </c>
      <c r="F330" t="s">
        <v>398</v>
      </c>
    </row>
    <row r="331" spans="1:6" customFormat="1" ht="15.75" hidden="1" thickBot="1">
      <c r="A331" t="s">
        <v>382</v>
      </c>
      <c r="B331" t="str">
        <f>"10673342253440146043"</f>
        <v>10673342253440146043</v>
      </c>
      <c r="C331" t="s">
        <v>382</v>
      </c>
      <c r="D331" t="s">
        <v>383</v>
      </c>
      <c r="E331" t="s">
        <v>382</v>
      </c>
      <c r="F331" t="s">
        <v>398</v>
      </c>
    </row>
    <row r="332" spans="1:6" customFormat="1" ht="15.75" hidden="1" thickBot="1">
      <c r="A332" t="s">
        <v>382</v>
      </c>
      <c r="B332" t="str">
        <f>"10673342253440303149"</f>
        <v>10673342253440303149</v>
      </c>
      <c r="C332" t="s">
        <v>382</v>
      </c>
      <c r="D332" t="s">
        <v>383</v>
      </c>
      <c r="E332" t="s">
        <v>382</v>
      </c>
      <c r="F332" t="s">
        <v>398</v>
      </c>
    </row>
    <row r="333" spans="1:6" customFormat="1" ht="15.75" hidden="1" thickBot="1">
      <c r="A333" t="s">
        <v>382</v>
      </c>
      <c r="B333" t="str">
        <f>"10673342253440873484"</f>
        <v>10673342253440873484</v>
      </c>
      <c r="C333" t="s">
        <v>382</v>
      </c>
      <c r="D333" t="s">
        <v>383</v>
      </c>
      <c r="E333" t="s">
        <v>382</v>
      </c>
      <c r="F333" t="s">
        <v>398</v>
      </c>
    </row>
    <row r="334" spans="1:6" customFormat="1" ht="15.75" hidden="1" thickBot="1">
      <c r="A334" t="s">
        <v>382</v>
      </c>
      <c r="B334" t="str">
        <f>"10673342253443391588"</f>
        <v>10673342253443391588</v>
      </c>
      <c r="C334" t="s">
        <v>382</v>
      </c>
      <c r="D334" t="s">
        <v>383</v>
      </c>
      <c r="E334" t="s">
        <v>382</v>
      </c>
      <c r="F334" t="s">
        <v>399</v>
      </c>
    </row>
    <row r="335" spans="1:6" customFormat="1" ht="15.75" hidden="1" thickBot="1">
      <c r="A335" t="s">
        <v>382</v>
      </c>
      <c r="B335" t="str">
        <f>"10673342253443416084"</f>
        <v>10673342253443416084</v>
      </c>
      <c r="C335" t="s">
        <v>382</v>
      </c>
      <c r="D335" t="s">
        <v>383</v>
      </c>
      <c r="E335" t="s">
        <v>382</v>
      </c>
      <c r="F335" t="s">
        <v>399</v>
      </c>
    </row>
    <row r="336" spans="1:6" customFormat="1" ht="15.75" hidden="1" thickBot="1">
      <c r="A336" t="s">
        <v>382</v>
      </c>
      <c r="B336" t="str">
        <f>"10673342253443440236"</f>
        <v>10673342253443440236</v>
      </c>
      <c r="C336" t="s">
        <v>382</v>
      </c>
      <c r="D336" t="s">
        <v>383</v>
      </c>
      <c r="E336" t="s">
        <v>382</v>
      </c>
      <c r="F336" t="s">
        <v>399</v>
      </c>
    </row>
    <row r="337" spans="1:6" customFormat="1" ht="15.75" hidden="1" thickBot="1">
      <c r="A337" t="s">
        <v>382</v>
      </c>
      <c r="B337" t="str">
        <f>"10673342253443940603"</f>
        <v>10673342253443940603</v>
      </c>
      <c r="C337" t="s">
        <v>382</v>
      </c>
      <c r="D337" t="s">
        <v>383</v>
      </c>
      <c r="E337" t="s">
        <v>382</v>
      </c>
      <c r="F337" t="s">
        <v>399</v>
      </c>
    </row>
    <row r="338" spans="1:6" customFormat="1" ht="15.75" hidden="1" thickBot="1">
      <c r="A338" t="s">
        <v>382</v>
      </c>
      <c r="B338" t="str">
        <f>"10673342253445616455"</f>
        <v>10673342253445616455</v>
      </c>
      <c r="C338" t="s">
        <v>382</v>
      </c>
      <c r="D338" t="s">
        <v>383</v>
      </c>
      <c r="E338" t="s">
        <v>382</v>
      </c>
      <c r="F338" t="s">
        <v>400</v>
      </c>
    </row>
    <row r="339" spans="1:6" customFormat="1" ht="15.75" hidden="1" thickBot="1">
      <c r="A339" t="s">
        <v>382</v>
      </c>
      <c r="B339" t="str">
        <f>"10673342253445804596"</f>
        <v>10673342253445804596</v>
      </c>
      <c r="C339" t="s">
        <v>382</v>
      </c>
      <c r="D339" t="s">
        <v>383</v>
      </c>
      <c r="E339" t="s">
        <v>382</v>
      </c>
      <c r="F339" t="s">
        <v>400</v>
      </c>
    </row>
    <row r="340" spans="1:6" customFormat="1" ht="15.75" hidden="1" thickBot="1">
      <c r="A340" t="s">
        <v>382</v>
      </c>
      <c r="B340" t="str">
        <f>"10677462254000221018"</f>
        <v>10677462254000221018</v>
      </c>
      <c r="C340" t="s">
        <v>382</v>
      </c>
      <c r="D340" t="s">
        <v>383</v>
      </c>
      <c r="E340" t="s">
        <v>382</v>
      </c>
      <c r="F340" t="s">
        <v>400</v>
      </c>
    </row>
    <row r="341" spans="1:6" customFormat="1" ht="15.75" hidden="1" thickBot="1">
      <c r="A341" t="s">
        <v>382</v>
      </c>
      <c r="B341" t="str">
        <f>"10677462254000299140"</f>
        <v>10677462254000299140</v>
      </c>
      <c r="C341" t="s">
        <v>382</v>
      </c>
      <c r="D341" t="s">
        <v>383</v>
      </c>
      <c r="E341" t="s">
        <v>382</v>
      </c>
      <c r="F341" t="s">
        <v>400</v>
      </c>
    </row>
    <row r="342" spans="1:6" customFormat="1" ht="15.75" hidden="1" thickBot="1">
      <c r="A342" t="s">
        <v>382</v>
      </c>
      <c r="B342" t="str">
        <f>"10673342253449915562"</f>
        <v>10673342253449915562</v>
      </c>
      <c r="C342" t="s">
        <v>382</v>
      </c>
      <c r="D342" t="s">
        <v>383</v>
      </c>
      <c r="E342" t="s">
        <v>382</v>
      </c>
      <c r="F342" t="s">
        <v>401</v>
      </c>
    </row>
    <row r="343" spans="1:6" customFormat="1" ht="15.75" hidden="1" thickBot="1">
      <c r="A343" t="s">
        <v>382</v>
      </c>
      <c r="B343" t="str">
        <f>"10673342253450138426"</f>
        <v>10673342253450138426</v>
      </c>
      <c r="C343" t="s">
        <v>382</v>
      </c>
      <c r="D343" t="s">
        <v>383</v>
      </c>
      <c r="E343" t="s">
        <v>382</v>
      </c>
      <c r="F343" t="s">
        <v>401</v>
      </c>
    </row>
    <row r="344" spans="1:6" customFormat="1" ht="15.75" hidden="1" thickBot="1">
      <c r="A344" t="s">
        <v>382</v>
      </c>
      <c r="B344" t="str">
        <f>"10673342253450167264"</f>
        <v>10673342253450167264</v>
      </c>
      <c r="C344" t="s">
        <v>382</v>
      </c>
      <c r="D344" t="s">
        <v>383</v>
      </c>
      <c r="E344" t="s">
        <v>382</v>
      </c>
      <c r="F344" t="s">
        <v>401</v>
      </c>
    </row>
    <row r="345" spans="1:6" customFormat="1" ht="15.75" hidden="1" thickBot="1">
      <c r="A345" t="s">
        <v>382</v>
      </c>
      <c r="B345" t="str">
        <f>"10673342253450203228"</f>
        <v>10673342253450203228</v>
      </c>
      <c r="C345" t="s">
        <v>382</v>
      </c>
      <c r="D345" t="s">
        <v>383</v>
      </c>
      <c r="E345" t="s">
        <v>382</v>
      </c>
      <c r="F345" t="s">
        <v>401</v>
      </c>
    </row>
    <row r="346" spans="1:6" customFormat="1" ht="15.75" hidden="1" thickBot="1">
      <c r="A346" t="s">
        <v>382</v>
      </c>
      <c r="B346" t="str">
        <f>"10673342253452626185"</f>
        <v>10673342253452626185</v>
      </c>
      <c r="C346" t="s">
        <v>382</v>
      </c>
      <c r="D346" t="s">
        <v>383</v>
      </c>
      <c r="E346" t="s">
        <v>382</v>
      </c>
      <c r="F346" t="s">
        <v>402</v>
      </c>
    </row>
    <row r="347" spans="1:6" customFormat="1" ht="15.75" hidden="1" thickBot="1">
      <c r="A347" t="s">
        <v>382</v>
      </c>
      <c r="B347" t="str">
        <f>"10673342253452633149"</f>
        <v>10673342253452633149</v>
      </c>
      <c r="C347" t="s">
        <v>382</v>
      </c>
      <c r="D347" t="s">
        <v>383</v>
      </c>
      <c r="E347" t="s">
        <v>382</v>
      </c>
      <c r="F347" t="s">
        <v>402</v>
      </c>
    </row>
    <row r="348" spans="1:6" customFormat="1" ht="15.75" hidden="1" thickBot="1">
      <c r="A348" t="s">
        <v>382</v>
      </c>
      <c r="B348" t="str">
        <f>"10673342253452634129"</f>
        <v>10673342253452634129</v>
      </c>
      <c r="C348" t="s">
        <v>382</v>
      </c>
      <c r="D348" t="s">
        <v>383</v>
      </c>
      <c r="E348" t="s">
        <v>382</v>
      </c>
      <c r="F348" t="s">
        <v>402</v>
      </c>
    </row>
    <row r="349" spans="1:6" customFormat="1" ht="15.75" hidden="1" thickBot="1">
      <c r="A349" t="s">
        <v>382</v>
      </c>
      <c r="B349" t="str">
        <f>"10673342253452736886"</f>
        <v>10673342253452736886</v>
      </c>
      <c r="C349" t="s">
        <v>382</v>
      </c>
      <c r="D349" t="s">
        <v>383</v>
      </c>
      <c r="E349" t="s">
        <v>382</v>
      </c>
      <c r="F349" t="s">
        <v>402</v>
      </c>
    </row>
    <row r="350" spans="1:6" customFormat="1" ht="15.75" hidden="1" thickBot="1">
      <c r="A350" t="s">
        <v>382</v>
      </c>
      <c r="B350" t="str">
        <f>"10673342253454213252"</f>
        <v>10673342253454213252</v>
      </c>
      <c r="C350" t="s">
        <v>382</v>
      </c>
      <c r="D350" t="s">
        <v>383</v>
      </c>
      <c r="E350" t="s">
        <v>382</v>
      </c>
      <c r="F350" t="s">
        <v>403</v>
      </c>
    </row>
    <row r="351" spans="1:6" customFormat="1" ht="15.75" hidden="1" thickBot="1">
      <c r="A351" t="s">
        <v>382</v>
      </c>
      <c r="B351" t="str">
        <f>"10673342253454475633"</f>
        <v>10673342253454475633</v>
      </c>
      <c r="C351" t="s">
        <v>382</v>
      </c>
      <c r="D351" t="s">
        <v>383</v>
      </c>
      <c r="E351" t="s">
        <v>382</v>
      </c>
      <c r="F351" t="s">
        <v>403</v>
      </c>
    </row>
    <row r="352" spans="1:6" customFormat="1" ht="15.75" hidden="1" thickBot="1">
      <c r="A352" t="s">
        <v>382</v>
      </c>
      <c r="B352" t="str">
        <f>"10673342253454658537"</f>
        <v>10673342253454658537</v>
      </c>
      <c r="C352" t="s">
        <v>382</v>
      </c>
      <c r="D352" t="s">
        <v>383</v>
      </c>
      <c r="E352" t="s">
        <v>382</v>
      </c>
      <c r="F352" t="s">
        <v>403</v>
      </c>
    </row>
    <row r="353" spans="1:6" customFormat="1" ht="15.75" hidden="1" thickBot="1">
      <c r="A353" t="s">
        <v>382</v>
      </c>
      <c r="B353" t="str">
        <f>"10673342253454718184"</f>
        <v>10673342253454718184</v>
      </c>
      <c r="C353" t="s">
        <v>382</v>
      </c>
      <c r="D353" t="s">
        <v>383</v>
      </c>
      <c r="E353" t="s">
        <v>382</v>
      </c>
      <c r="F353" t="s">
        <v>403</v>
      </c>
    </row>
    <row r="354" spans="1:6" customFormat="1" ht="15.75" hidden="1" thickBot="1">
      <c r="A354" t="s">
        <v>382</v>
      </c>
      <c r="B354" t="str">
        <f>"10673342253453089852"</f>
        <v>10673342253453089852</v>
      </c>
      <c r="C354" t="s">
        <v>382</v>
      </c>
      <c r="D354" t="s">
        <v>383</v>
      </c>
      <c r="E354" t="s">
        <v>382</v>
      </c>
      <c r="F354" t="s">
        <v>404</v>
      </c>
    </row>
    <row r="355" spans="1:6" customFormat="1" ht="15.75" hidden="1" thickBot="1">
      <c r="A355" t="s">
        <v>382</v>
      </c>
      <c r="B355" t="str">
        <f>"10673342253453453543"</f>
        <v>10673342253453453543</v>
      </c>
      <c r="C355" t="s">
        <v>382</v>
      </c>
      <c r="D355" t="s">
        <v>383</v>
      </c>
      <c r="E355" t="s">
        <v>382</v>
      </c>
      <c r="F355" t="s">
        <v>404</v>
      </c>
    </row>
    <row r="356" spans="1:6" customFormat="1" ht="15.75" hidden="1" thickBot="1">
      <c r="A356" t="s">
        <v>382</v>
      </c>
      <c r="B356" t="str">
        <f>"10673342253453811806"</f>
        <v>10673342253453811806</v>
      </c>
      <c r="C356" t="s">
        <v>382</v>
      </c>
      <c r="D356" t="s">
        <v>383</v>
      </c>
      <c r="E356" t="s">
        <v>382</v>
      </c>
      <c r="F356" t="s">
        <v>404</v>
      </c>
    </row>
    <row r="357" spans="1:6" customFormat="1" ht="15.75" hidden="1" thickBot="1">
      <c r="A357" t="s">
        <v>382</v>
      </c>
      <c r="B357" t="str">
        <f>"10673342253453995737"</f>
        <v>10673342253453995737</v>
      </c>
      <c r="C357" t="s">
        <v>382</v>
      </c>
      <c r="D357" t="s">
        <v>383</v>
      </c>
      <c r="E357" t="s">
        <v>382</v>
      </c>
      <c r="F357" t="s">
        <v>404</v>
      </c>
    </row>
    <row r="358" spans="1:6" customFormat="1" ht="15.75" hidden="1" thickBot="1">
      <c r="A358" t="s">
        <v>382</v>
      </c>
      <c r="B358" t="str">
        <f>"10673342253454729958"</f>
        <v>10673342253454729958</v>
      </c>
      <c r="C358" t="s">
        <v>382</v>
      </c>
      <c r="D358" t="s">
        <v>383</v>
      </c>
      <c r="E358" t="s">
        <v>382</v>
      </c>
      <c r="F358" t="s">
        <v>405</v>
      </c>
    </row>
    <row r="359" spans="1:6" customFormat="1" ht="15.75" hidden="1" thickBot="1">
      <c r="A359" t="s">
        <v>382</v>
      </c>
      <c r="B359" t="str">
        <f>"10673342253454783261"</f>
        <v>10673342253454783261</v>
      </c>
      <c r="C359" t="s">
        <v>382</v>
      </c>
      <c r="D359" t="s">
        <v>383</v>
      </c>
      <c r="E359" t="s">
        <v>382</v>
      </c>
      <c r="F359" t="s">
        <v>405</v>
      </c>
    </row>
    <row r="360" spans="1:6" customFormat="1" ht="15.75" hidden="1" thickBot="1">
      <c r="A360" t="s">
        <v>382</v>
      </c>
      <c r="B360" t="str">
        <f>"10673342253454852646"</f>
        <v>10673342253454852646</v>
      </c>
      <c r="C360" t="s">
        <v>382</v>
      </c>
      <c r="D360" t="s">
        <v>383</v>
      </c>
      <c r="E360" t="s">
        <v>382</v>
      </c>
      <c r="F360" t="s">
        <v>405</v>
      </c>
    </row>
    <row r="361" spans="1:6" customFormat="1" ht="15.75" hidden="1" thickBot="1">
      <c r="A361" t="s">
        <v>382</v>
      </c>
      <c r="B361" t="str">
        <f>"10673342253454968423"</f>
        <v>10673342253454968423</v>
      </c>
      <c r="C361" t="s">
        <v>382</v>
      </c>
      <c r="D361" t="s">
        <v>383</v>
      </c>
      <c r="E361" t="s">
        <v>382</v>
      </c>
      <c r="F361" t="s">
        <v>405</v>
      </c>
    </row>
    <row r="362" spans="1:6" customFormat="1" ht="15.75" hidden="1" thickBot="1">
      <c r="A362" t="s">
        <v>382</v>
      </c>
      <c r="B362" t="str">
        <f>"10673342253459467046"</f>
        <v>10673342253459467046</v>
      </c>
      <c r="C362" t="s">
        <v>382</v>
      </c>
      <c r="D362" t="s">
        <v>383</v>
      </c>
      <c r="E362" t="s">
        <v>382</v>
      </c>
      <c r="F362" t="s">
        <v>406</v>
      </c>
    </row>
    <row r="363" spans="1:6" customFormat="1" ht="15.75" hidden="1" thickBot="1">
      <c r="A363" t="s">
        <v>382</v>
      </c>
      <c r="B363" t="str">
        <f>"10673342253459575560"</f>
        <v>10673342253459575560</v>
      </c>
      <c r="C363" t="s">
        <v>382</v>
      </c>
      <c r="D363" t="s">
        <v>383</v>
      </c>
      <c r="E363" t="s">
        <v>382</v>
      </c>
      <c r="F363" t="s">
        <v>406</v>
      </c>
    </row>
    <row r="364" spans="1:6" customFormat="1" ht="15.75" hidden="1" thickBot="1">
      <c r="A364" t="s">
        <v>382</v>
      </c>
      <c r="B364" t="str">
        <f>"10673342253460036707"</f>
        <v>10673342253460036707</v>
      </c>
      <c r="C364" t="s">
        <v>382</v>
      </c>
      <c r="D364" t="s">
        <v>383</v>
      </c>
      <c r="E364" t="s">
        <v>382</v>
      </c>
      <c r="F364" t="s">
        <v>406</v>
      </c>
    </row>
    <row r="365" spans="1:6" customFormat="1" ht="15.75" hidden="1" thickBot="1">
      <c r="A365" t="s">
        <v>382</v>
      </c>
      <c r="B365" t="str">
        <f>"10673342253460038629"</f>
        <v>10673342253460038629</v>
      </c>
      <c r="C365" t="s">
        <v>382</v>
      </c>
      <c r="D365" t="s">
        <v>383</v>
      </c>
      <c r="E365" t="s">
        <v>382</v>
      </c>
      <c r="F365" t="s">
        <v>406</v>
      </c>
    </row>
    <row r="366" spans="1:6" customFormat="1" ht="15.75" hidden="1" thickBot="1">
      <c r="A366" t="s">
        <v>382</v>
      </c>
      <c r="B366" t="str">
        <f>"10673342253461316355"</f>
        <v>10673342253461316355</v>
      </c>
      <c r="C366" t="s">
        <v>382</v>
      </c>
      <c r="D366" t="s">
        <v>383</v>
      </c>
      <c r="E366" t="s">
        <v>382</v>
      </c>
      <c r="F366" t="s">
        <v>407</v>
      </c>
    </row>
    <row r="367" spans="1:6" customFormat="1" ht="15.75" hidden="1" thickBot="1">
      <c r="A367" t="s">
        <v>382</v>
      </c>
      <c r="B367" t="str">
        <f>"10673342253461359097"</f>
        <v>10673342253461359097</v>
      </c>
      <c r="C367" t="s">
        <v>382</v>
      </c>
      <c r="D367" t="s">
        <v>383</v>
      </c>
      <c r="E367" t="s">
        <v>382</v>
      </c>
      <c r="F367" t="s">
        <v>407</v>
      </c>
    </row>
    <row r="368" spans="1:6" customFormat="1" ht="15.75" hidden="1" thickBot="1">
      <c r="A368" t="s">
        <v>382</v>
      </c>
      <c r="B368" t="str">
        <f>"10673342253461359151"</f>
        <v>10673342253461359151</v>
      </c>
      <c r="C368" t="s">
        <v>382</v>
      </c>
      <c r="D368" t="s">
        <v>383</v>
      </c>
      <c r="E368" t="s">
        <v>382</v>
      </c>
      <c r="F368" t="s">
        <v>407</v>
      </c>
    </row>
    <row r="369" spans="1:6" customFormat="1" ht="15.75" hidden="1" thickBot="1">
      <c r="A369" t="s">
        <v>382</v>
      </c>
      <c r="B369" t="str">
        <f>"10673342253461682378"</f>
        <v>10673342253461682378</v>
      </c>
      <c r="C369" t="s">
        <v>382</v>
      </c>
      <c r="D369" t="s">
        <v>383</v>
      </c>
      <c r="E369" t="s">
        <v>382</v>
      </c>
      <c r="F369" t="s">
        <v>407</v>
      </c>
    </row>
    <row r="370" spans="1:6" customFormat="1" ht="15.75" hidden="1" thickBot="1">
      <c r="A370" t="s">
        <v>382</v>
      </c>
      <c r="B370" t="str">
        <f>"10673342253400776812"</f>
        <v>10673342253400776812</v>
      </c>
      <c r="C370" t="s">
        <v>382</v>
      </c>
      <c r="D370" t="s">
        <v>383</v>
      </c>
      <c r="E370" t="s">
        <v>382</v>
      </c>
      <c r="F370" t="s">
        <v>408</v>
      </c>
    </row>
    <row r="371" spans="1:6" customFormat="1" ht="15.75" hidden="1" thickBot="1">
      <c r="A371" t="s">
        <v>382</v>
      </c>
      <c r="B371" t="str">
        <f>"10673342253400911997"</f>
        <v>10673342253400911997</v>
      </c>
      <c r="C371" t="s">
        <v>382</v>
      </c>
      <c r="D371" t="s">
        <v>383</v>
      </c>
      <c r="E371" t="s">
        <v>382</v>
      </c>
      <c r="F371" t="s">
        <v>408</v>
      </c>
    </row>
    <row r="372" spans="1:6" customFormat="1" ht="15.75" hidden="1" thickBot="1">
      <c r="A372" t="s">
        <v>382</v>
      </c>
      <c r="B372" t="str">
        <f>"10673342253401276861"</f>
        <v>10673342253401276861</v>
      </c>
      <c r="C372" t="s">
        <v>382</v>
      </c>
      <c r="D372" t="s">
        <v>383</v>
      </c>
      <c r="E372" t="s">
        <v>382</v>
      </c>
      <c r="F372" t="s">
        <v>408</v>
      </c>
    </row>
    <row r="373" spans="1:6" customFormat="1" ht="15.75" hidden="1" thickBot="1">
      <c r="A373" t="s">
        <v>382</v>
      </c>
      <c r="B373" t="str">
        <f>"10673342253401587603"</f>
        <v>10673342253401587603</v>
      </c>
      <c r="C373" t="s">
        <v>382</v>
      </c>
      <c r="D373" t="s">
        <v>383</v>
      </c>
      <c r="E373" t="s">
        <v>382</v>
      </c>
      <c r="F373" t="s">
        <v>408</v>
      </c>
    </row>
    <row r="374" spans="1:6" customFormat="1" ht="15.75" hidden="1" thickBot="1">
      <c r="A374" t="s">
        <v>382</v>
      </c>
      <c r="B374" t="str">
        <f>"10673342253410307405"</f>
        <v>10673342253410307405</v>
      </c>
      <c r="C374" t="s">
        <v>382</v>
      </c>
      <c r="D374" t="s">
        <v>383</v>
      </c>
      <c r="E374" t="s">
        <v>382</v>
      </c>
      <c r="F374" t="s">
        <v>409</v>
      </c>
    </row>
    <row r="375" spans="1:6" customFormat="1" ht="15.75" hidden="1" thickBot="1">
      <c r="A375" t="s">
        <v>382</v>
      </c>
      <c r="B375" t="str">
        <f>"10673342253410395940"</f>
        <v>10673342253410395940</v>
      </c>
      <c r="C375" t="s">
        <v>382</v>
      </c>
      <c r="D375" t="s">
        <v>383</v>
      </c>
      <c r="E375" t="s">
        <v>382</v>
      </c>
      <c r="F375" t="s">
        <v>409</v>
      </c>
    </row>
    <row r="376" spans="1:6" customFormat="1" ht="15.75" hidden="1" thickBot="1">
      <c r="A376" t="s">
        <v>382</v>
      </c>
      <c r="B376" t="str">
        <f>"10673342253410708302"</f>
        <v>10673342253410708302</v>
      </c>
      <c r="C376" t="s">
        <v>382</v>
      </c>
      <c r="D376" t="s">
        <v>383</v>
      </c>
      <c r="E376" t="s">
        <v>382</v>
      </c>
      <c r="F376" t="s">
        <v>409</v>
      </c>
    </row>
    <row r="377" spans="1:6" customFormat="1" ht="15.75" hidden="1" thickBot="1">
      <c r="A377" t="s">
        <v>382</v>
      </c>
      <c r="B377" t="str">
        <f>"10673342253410721546"</f>
        <v>10673342253410721546</v>
      </c>
      <c r="C377" t="s">
        <v>382</v>
      </c>
      <c r="D377" t="s">
        <v>383</v>
      </c>
      <c r="E377" t="s">
        <v>382</v>
      </c>
      <c r="F377" t="s">
        <v>409</v>
      </c>
    </row>
    <row r="378" spans="1:6" customFormat="1" ht="15.75" hidden="1" thickBot="1">
      <c r="A378" t="s">
        <v>382</v>
      </c>
      <c r="B378" t="str">
        <f>"10673342253411217779"</f>
        <v>10673342253411217779</v>
      </c>
      <c r="C378" t="s">
        <v>382</v>
      </c>
      <c r="D378" t="s">
        <v>383</v>
      </c>
      <c r="E378" t="s">
        <v>382</v>
      </c>
      <c r="F378" t="s">
        <v>410</v>
      </c>
    </row>
    <row r="379" spans="1:6" customFormat="1" ht="15.75" hidden="1" thickBot="1">
      <c r="A379" t="s">
        <v>382</v>
      </c>
      <c r="B379" t="str">
        <f>"10673342253411451585"</f>
        <v>10673342253411451585</v>
      </c>
      <c r="C379" t="s">
        <v>382</v>
      </c>
      <c r="D379" t="s">
        <v>383</v>
      </c>
      <c r="E379" t="s">
        <v>382</v>
      </c>
      <c r="F379" t="s">
        <v>410</v>
      </c>
    </row>
    <row r="380" spans="1:6" customFormat="1" ht="15.75" hidden="1" thickBot="1">
      <c r="A380" t="s">
        <v>382</v>
      </c>
      <c r="B380" t="str">
        <f>"10673342253411891690"</f>
        <v>10673342253411891690</v>
      </c>
      <c r="C380" t="s">
        <v>382</v>
      </c>
      <c r="D380" t="s">
        <v>383</v>
      </c>
      <c r="E380" t="s">
        <v>382</v>
      </c>
      <c r="F380" t="s">
        <v>410</v>
      </c>
    </row>
    <row r="381" spans="1:6" customFormat="1" ht="15.75" hidden="1" thickBot="1">
      <c r="A381" t="s">
        <v>382</v>
      </c>
      <c r="B381" t="str">
        <f>"10673342253412098463"</f>
        <v>10673342253412098463</v>
      </c>
      <c r="C381" t="s">
        <v>382</v>
      </c>
      <c r="D381" t="s">
        <v>383</v>
      </c>
      <c r="E381" t="s">
        <v>382</v>
      </c>
      <c r="F381" t="s">
        <v>410</v>
      </c>
    </row>
    <row r="382" spans="1:6" customFormat="1" ht="15.75" hidden="1" thickBot="1">
      <c r="A382" t="s">
        <v>382</v>
      </c>
      <c r="B382" t="str">
        <f>"10673342253416217998"</f>
        <v>10673342253416217998</v>
      </c>
      <c r="C382" t="s">
        <v>382</v>
      </c>
      <c r="D382" t="s">
        <v>383</v>
      </c>
      <c r="E382" t="s">
        <v>382</v>
      </c>
      <c r="F382" t="s">
        <v>411</v>
      </c>
    </row>
    <row r="383" spans="1:6" customFormat="1" ht="15.75" hidden="1" thickBot="1">
      <c r="A383" t="s">
        <v>382</v>
      </c>
      <c r="B383" t="str">
        <f>"10673342253416604800"</f>
        <v>10673342253416604800</v>
      </c>
      <c r="C383" t="s">
        <v>382</v>
      </c>
      <c r="D383" t="s">
        <v>383</v>
      </c>
      <c r="E383" t="s">
        <v>382</v>
      </c>
      <c r="F383" t="s">
        <v>411</v>
      </c>
    </row>
    <row r="384" spans="1:6" customFormat="1" ht="15.75" hidden="1" thickBot="1">
      <c r="A384" t="s">
        <v>382</v>
      </c>
      <c r="B384" t="str">
        <f>"10673342253417031243"</f>
        <v>10673342253417031243</v>
      </c>
      <c r="C384" t="s">
        <v>382</v>
      </c>
      <c r="D384" t="s">
        <v>383</v>
      </c>
      <c r="E384" t="s">
        <v>382</v>
      </c>
      <c r="F384" t="s">
        <v>411</v>
      </c>
    </row>
    <row r="385" spans="1:6" customFormat="1" ht="15.75" hidden="1" thickBot="1">
      <c r="A385" t="s">
        <v>382</v>
      </c>
      <c r="B385" t="str">
        <f>"10673342253417137849"</f>
        <v>10673342253417137849</v>
      </c>
      <c r="C385" t="s">
        <v>382</v>
      </c>
      <c r="D385" t="s">
        <v>383</v>
      </c>
      <c r="E385" t="s">
        <v>382</v>
      </c>
      <c r="F385" t="s">
        <v>411</v>
      </c>
    </row>
    <row r="386" spans="1:6" customFormat="1" ht="15.75" hidden="1" thickBot="1">
      <c r="A386" t="s">
        <v>382</v>
      </c>
      <c r="B386" t="str">
        <f>"10673342253417280286"</f>
        <v>10673342253417280286</v>
      </c>
      <c r="C386" t="s">
        <v>382</v>
      </c>
      <c r="D386" t="s">
        <v>383</v>
      </c>
      <c r="E386" t="s">
        <v>382</v>
      </c>
      <c r="F386" t="s">
        <v>412</v>
      </c>
    </row>
    <row r="387" spans="1:6" customFormat="1" ht="15.75" hidden="1" thickBot="1">
      <c r="A387" t="s">
        <v>382</v>
      </c>
      <c r="B387" t="str">
        <f>"10673342253417294492"</f>
        <v>10673342253417294492</v>
      </c>
      <c r="C387" t="s">
        <v>382</v>
      </c>
      <c r="D387" t="s">
        <v>383</v>
      </c>
      <c r="E387" t="s">
        <v>382</v>
      </c>
      <c r="F387" t="s">
        <v>412</v>
      </c>
    </row>
    <row r="388" spans="1:6" customFormat="1" ht="15.75" hidden="1" thickBot="1">
      <c r="A388" t="s">
        <v>382</v>
      </c>
      <c r="B388" t="str">
        <f>"10673342253417350306"</f>
        <v>10673342253417350306</v>
      </c>
      <c r="C388" t="s">
        <v>382</v>
      </c>
      <c r="D388" t="s">
        <v>383</v>
      </c>
      <c r="E388" t="s">
        <v>382</v>
      </c>
      <c r="F388" t="s">
        <v>412</v>
      </c>
    </row>
    <row r="389" spans="1:6" customFormat="1" ht="15.75" hidden="1" thickBot="1">
      <c r="A389" t="s">
        <v>382</v>
      </c>
      <c r="B389" t="str">
        <f>"10673342253417368710"</f>
        <v>10673342253417368710</v>
      </c>
      <c r="C389" t="s">
        <v>382</v>
      </c>
      <c r="D389" t="s">
        <v>383</v>
      </c>
      <c r="E389" t="s">
        <v>382</v>
      </c>
      <c r="F389" t="s">
        <v>412</v>
      </c>
    </row>
    <row r="390" spans="1:6" customFormat="1" ht="15.75" hidden="1" thickBot="1">
      <c r="A390" t="s">
        <v>382</v>
      </c>
      <c r="B390" t="str">
        <f>"10673342253419060402"</f>
        <v>10673342253419060402</v>
      </c>
      <c r="C390" t="s">
        <v>382</v>
      </c>
      <c r="D390" t="s">
        <v>383</v>
      </c>
      <c r="E390" t="s">
        <v>382</v>
      </c>
      <c r="F390" t="s">
        <v>413</v>
      </c>
    </row>
    <row r="391" spans="1:6" customFormat="1" ht="15.75" hidden="1" thickBot="1">
      <c r="A391" t="s">
        <v>382</v>
      </c>
      <c r="B391" t="str">
        <f>"10673342253419298999"</f>
        <v>10673342253419298999</v>
      </c>
      <c r="C391" t="s">
        <v>382</v>
      </c>
      <c r="D391" t="s">
        <v>383</v>
      </c>
      <c r="E391" t="s">
        <v>382</v>
      </c>
      <c r="F391" t="s">
        <v>413</v>
      </c>
    </row>
    <row r="392" spans="1:6" customFormat="1" ht="15.75" hidden="1" thickBot="1">
      <c r="A392" t="s">
        <v>382</v>
      </c>
      <c r="B392" t="str">
        <f>"10673342253419445819"</f>
        <v>10673342253419445819</v>
      </c>
      <c r="C392" t="s">
        <v>382</v>
      </c>
      <c r="D392" t="s">
        <v>383</v>
      </c>
      <c r="E392" t="s">
        <v>382</v>
      </c>
      <c r="F392" t="s">
        <v>413</v>
      </c>
    </row>
    <row r="393" spans="1:6" customFormat="1" ht="15.75" hidden="1" thickBot="1">
      <c r="A393" t="s">
        <v>382</v>
      </c>
      <c r="B393" t="str">
        <f>"10673342253419919993"</f>
        <v>10673342253419919993</v>
      </c>
      <c r="C393" t="s">
        <v>382</v>
      </c>
      <c r="D393" t="s">
        <v>383</v>
      </c>
      <c r="E393" t="s">
        <v>382</v>
      </c>
      <c r="F393" t="s">
        <v>413</v>
      </c>
    </row>
    <row r="394" spans="1:6" customFormat="1" ht="15.75" hidden="1" thickBot="1">
      <c r="A394" t="s">
        <v>382</v>
      </c>
      <c r="B394" t="str">
        <f>"10673342253436883608"</f>
        <v>10673342253436883608</v>
      </c>
      <c r="C394" t="s">
        <v>382</v>
      </c>
      <c r="D394" t="s">
        <v>383</v>
      </c>
      <c r="E394" t="s">
        <v>382</v>
      </c>
      <c r="F394" t="s">
        <v>414</v>
      </c>
    </row>
    <row r="395" spans="1:6" customFormat="1" ht="15.75" hidden="1" thickBot="1">
      <c r="A395" t="s">
        <v>382</v>
      </c>
      <c r="B395" t="str">
        <f>"10673342253437124921"</f>
        <v>10673342253437124921</v>
      </c>
      <c r="C395" t="s">
        <v>382</v>
      </c>
      <c r="D395" t="s">
        <v>383</v>
      </c>
      <c r="E395" t="s">
        <v>382</v>
      </c>
      <c r="F395" t="s">
        <v>414</v>
      </c>
    </row>
    <row r="396" spans="1:6" customFormat="1" ht="15.75" hidden="1" thickBot="1">
      <c r="A396" t="s">
        <v>382</v>
      </c>
      <c r="B396" t="str">
        <f>"10673342253437188946"</f>
        <v>10673342253437188946</v>
      </c>
      <c r="C396" t="s">
        <v>382</v>
      </c>
      <c r="D396" t="s">
        <v>383</v>
      </c>
      <c r="E396" t="s">
        <v>382</v>
      </c>
      <c r="F396" t="s">
        <v>414</v>
      </c>
    </row>
    <row r="397" spans="1:6" customFormat="1" ht="15.75" hidden="1" thickBot="1">
      <c r="A397" t="s">
        <v>382</v>
      </c>
      <c r="B397" t="str">
        <f>"10673342253437544238"</f>
        <v>10673342253437544238</v>
      </c>
      <c r="C397" t="s">
        <v>382</v>
      </c>
      <c r="D397" t="s">
        <v>383</v>
      </c>
      <c r="E397" t="s">
        <v>382</v>
      </c>
      <c r="F397" t="s">
        <v>414</v>
      </c>
    </row>
    <row r="398" spans="1:6" customFormat="1" ht="15.75" hidden="1" thickBot="1">
      <c r="A398" t="s">
        <v>382</v>
      </c>
      <c r="B398" t="str">
        <f>"10673342253437668905"</f>
        <v>10673342253437668905</v>
      </c>
      <c r="C398" t="s">
        <v>382</v>
      </c>
      <c r="D398" t="s">
        <v>383</v>
      </c>
      <c r="E398" t="s">
        <v>382</v>
      </c>
      <c r="F398" t="s">
        <v>415</v>
      </c>
    </row>
    <row r="399" spans="1:6" customFormat="1" ht="15.75" hidden="1" thickBot="1">
      <c r="A399" t="s">
        <v>382</v>
      </c>
      <c r="B399" t="str">
        <f>"10673342253438145418"</f>
        <v>10673342253438145418</v>
      </c>
      <c r="C399" t="s">
        <v>382</v>
      </c>
      <c r="D399" t="s">
        <v>383</v>
      </c>
      <c r="E399" t="s">
        <v>382</v>
      </c>
      <c r="F399" t="s">
        <v>415</v>
      </c>
    </row>
    <row r="400" spans="1:6" customFormat="1" ht="15.75" hidden="1" thickBot="1">
      <c r="A400" t="s">
        <v>382</v>
      </c>
      <c r="B400" t="str">
        <f>"10673342253438488825"</f>
        <v>10673342253438488825</v>
      </c>
      <c r="C400" t="s">
        <v>382</v>
      </c>
      <c r="D400" t="s">
        <v>383</v>
      </c>
      <c r="E400" t="s">
        <v>382</v>
      </c>
      <c r="F400" t="s">
        <v>415</v>
      </c>
    </row>
    <row r="401" spans="1:6" customFormat="1" ht="15.75" hidden="1" thickBot="1">
      <c r="A401" t="s">
        <v>382</v>
      </c>
      <c r="B401" t="str">
        <f>"10673342253439103212"</f>
        <v>10673342253439103212</v>
      </c>
      <c r="C401" t="s">
        <v>382</v>
      </c>
      <c r="D401" t="s">
        <v>383</v>
      </c>
      <c r="E401" t="s">
        <v>382</v>
      </c>
      <c r="F401" t="s">
        <v>415</v>
      </c>
    </row>
    <row r="402" spans="1:6" customFormat="1" ht="15.75" hidden="1" thickBot="1">
      <c r="A402" t="s">
        <v>382</v>
      </c>
      <c r="B402" t="str">
        <f>"10673342253441232342"</f>
        <v>10673342253441232342</v>
      </c>
      <c r="C402" t="s">
        <v>382</v>
      </c>
      <c r="D402" t="s">
        <v>383</v>
      </c>
      <c r="E402" t="s">
        <v>382</v>
      </c>
      <c r="F402" t="s">
        <v>416</v>
      </c>
    </row>
    <row r="403" spans="1:6" customFormat="1" ht="15.75" hidden="1" thickBot="1">
      <c r="A403" t="s">
        <v>382</v>
      </c>
      <c r="B403" t="str">
        <f>"10673342253441443173"</f>
        <v>10673342253441443173</v>
      </c>
      <c r="C403" t="s">
        <v>382</v>
      </c>
      <c r="D403" t="s">
        <v>383</v>
      </c>
      <c r="E403" t="s">
        <v>382</v>
      </c>
      <c r="F403" t="s">
        <v>416</v>
      </c>
    </row>
    <row r="404" spans="1:6" customFormat="1" ht="15.75" hidden="1" thickBot="1">
      <c r="A404" t="s">
        <v>382</v>
      </c>
      <c r="B404" t="str">
        <f>"10673342253441598657"</f>
        <v>10673342253441598657</v>
      </c>
      <c r="C404" t="s">
        <v>382</v>
      </c>
      <c r="D404" t="s">
        <v>383</v>
      </c>
      <c r="E404" t="s">
        <v>382</v>
      </c>
      <c r="F404" t="s">
        <v>416</v>
      </c>
    </row>
    <row r="405" spans="1:6" customFormat="1" ht="15.75" hidden="1" thickBot="1">
      <c r="A405" t="s">
        <v>382</v>
      </c>
      <c r="B405" t="str">
        <f>"10673342253442080481"</f>
        <v>10673342253442080481</v>
      </c>
      <c r="C405" t="s">
        <v>382</v>
      </c>
      <c r="D405" t="s">
        <v>383</v>
      </c>
      <c r="E405" t="s">
        <v>382</v>
      </c>
      <c r="F405" t="s">
        <v>416</v>
      </c>
    </row>
    <row r="406" spans="1:6" customFormat="1" ht="15.75" hidden="1" thickBot="1">
      <c r="A406" t="s">
        <v>382</v>
      </c>
      <c r="B406" t="str">
        <f>"10673342253444439959"</f>
        <v>10673342253444439959</v>
      </c>
      <c r="C406" t="s">
        <v>382</v>
      </c>
      <c r="D406" t="s">
        <v>383</v>
      </c>
      <c r="E406" t="s">
        <v>382</v>
      </c>
      <c r="F406" t="s">
        <v>417</v>
      </c>
    </row>
    <row r="407" spans="1:6" customFormat="1" ht="15.75" hidden="1" thickBot="1">
      <c r="A407" t="s">
        <v>382</v>
      </c>
      <c r="B407" t="str">
        <f>"10673342253444734500"</f>
        <v>10673342253444734500</v>
      </c>
      <c r="C407" t="s">
        <v>382</v>
      </c>
      <c r="D407" t="s">
        <v>383</v>
      </c>
      <c r="E407" t="s">
        <v>382</v>
      </c>
      <c r="F407" t="s">
        <v>417</v>
      </c>
    </row>
    <row r="408" spans="1:6" customFormat="1" ht="15.75" hidden="1" thickBot="1">
      <c r="A408" t="s">
        <v>382</v>
      </c>
      <c r="B408" t="str">
        <f>"10673342253444740888"</f>
        <v>10673342253444740888</v>
      </c>
      <c r="C408" t="s">
        <v>382</v>
      </c>
      <c r="D408" t="s">
        <v>383</v>
      </c>
      <c r="E408" t="s">
        <v>382</v>
      </c>
      <c r="F408" t="s">
        <v>417</v>
      </c>
    </row>
    <row r="409" spans="1:6" customFormat="1" ht="15.75" hidden="1" thickBot="1">
      <c r="A409" t="s">
        <v>382</v>
      </c>
      <c r="B409" t="str">
        <f>"10673342253445340506"</f>
        <v>10673342253445340506</v>
      </c>
      <c r="C409" t="s">
        <v>382</v>
      </c>
      <c r="D409" t="s">
        <v>383</v>
      </c>
      <c r="E409" t="s">
        <v>382</v>
      </c>
      <c r="F409" t="s">
        <v>417</v>
      </c>
    </row>
    <row r="410" spans="1:6" customFormat="1" ht="15.75" hidden="1" thickBot="1">
      <c r="A410" t="s">
        <v>382</v>
      </c>
      <c r="B410" t="str">
        <f>"10677462254000323580"</f>
        <v>10677462254000323580</v>
      </c>
      <c r="C410" t="s">
        <v>382</v>
      </c>
      <c r="D410" t="s">
        <v>383</v>
      </c>
      <c r="E410" t="s">
        <v>382</v>
      </c>
      <c r="F410" t="s">
        <v>418</v>
      </c>
    </row>
    <row r="411" spans="1:6" customFormat="1" ht="15.75" hidden="1" thickBot="1">
      <c r="A411" t="s">
        <v>382</v>
      </c>
      <c r="B411" t="str">
        <f>"10677462254000748131"</f>
        <v>10677462254000748131</v>
      </c>
      <c r="C411" t="s">
        <v>382</v>
      </c>
      <c r="D411" t="s">
        <v>383</v>
      </c>
      <c r="E411" t="s">
        <v>382</v>
      </c>
      <c r="F411" t="s">
        <v>418</v>
      </c>
    </row>
    <row r="412" spans="1:6" customFormat="1" ht="15.75" hidden="1" thickBot="1">
      <c r="A412" t="s">
        <v>382</v>
      </c>
      <c r="B412" t="str">
        <f>"10677462254000805364"</f>
        <v>10677462254000805364</v>
      </c>
      <c r="C412" t="s">
        <v>382</v>
      </c>
      <c r="D412" t="s">
        <v>383</v>
      </c>
      <c r="E412" t="s">
        <v>382</v>
      </c>
      <c r="F412" t="s">
        <v>418</v>
      </c>
    </row>
    <row r="413" spans="1:6" customFormat="1" ht="15.75" hidden="1" thickBot="1">
      <c r="A413" t="s">
        <v>382</v>
      </c>
      <c r="B413" t="str">
        <f>"10677462254001201446"</f>
        <v>10677462254001201446</v>
      </c>
      <c r="C413" t="s">
        <v>382</v>
      </c>
      <c r="D413" t="s">
        <v>383</v>
      </c>
      <c r="E413" t="s">
        <v>382</v>
      </c>
      <c r="F413" t="s">
        <v>418</v>
      </c>
    </row>
    <row r="414" spans="1:6" customFormat="1" ht="15.75" hidden="1" thickBot="1">
      <c r="A414" t="s">
        <v>382</v>
      </c>
      <c r="B414" t="str">
        <f>"10677462254002039162"</f>
        <v>10677462254002039162</v>
      </c>
      <c r="C414" t="s">
        <v>382</v>
      </c>
      <c r="D414" t="s">
        <v>383</v>
      </c>
      <c r="E414" t="s">
        <v>382</v>
      </c>
      <c r="F414" t="s">
        <v>419</v>
      </c>
    </row>
    <row r="415" spans="1:6" customFormat="1" ht="15.75" hidden="1" thickBot="1">
      <c r="A415" t="s">
        <v>382</v>
      </c>
      <c r="B415" t="str">
        <f>"10677462254002064760"</f>
        <v>10677462254002064760</v>
      </c>
      <c r="C415" t="s">
        <v>382</v>
      </c>
      <c r="D415" t="s">
        <v>383</v>
      </c>
      <c r="E415" t="s">
        <v>382</v>
      </c>
      <c r="F415" t="s">
        <v>419</v>
      </c>
    </row>
    <row r="416" spans="1:6" customFormat="1" ht="15.75" hidden="1" thickBot="1">
      <c r="A416" t="s">
        <v>382</v>
      </c>
      <c r="B416" t="str">
        <f>"10677462254002437877"</f>
        <v>10677462254002437877</v>
      </c>
      <c r="C416" t="s">
        <v>382</v>
      </c>
      <c r="D416" t="s">
        <v>383</v>
      </c>
      <c r="E416" t="s">
        <v>382</v>
      </c>
      <c r="F416" t="s">
        <v>419</v>
      </c>
    </row>
    <row r="417" spans="1:6" customFormat="1" ht="15.75" hidden="1" thickBot="1">
      <c r="A417" t="s">
        <v>382</v>
      </c>
      <c r="B417" t="str">
        <f>"10677462254002922899"</f>
        <v>10677462254002922899</v>
      </c>
      <c r="C417" t="s">
        <v>382</v>
      </c>
      <c r="D417" t="s">
        <v>383</v>
      </c>
      <c r="E417" t="s">
        <v>382</v>
      </c>
      <c r="F417" t="s">
        <v>419</v>
      </c>
    </row>
    <row r="418" spans="1:6" customFormat="1" ht="15.75" hidden="1" thickBot="1">
      <c r="A418" t="s">
        <v>382</v>
      </c>
      <c r="B418" t="str">
        <f>"10677462254003124600"</f>
        <v>10677462254003124600</v>
      </c>
      <c r="C418" t="s">
        <v>382</v>
      </c>
      <c r="D418" t="s">
        <v>383</v>
      </c>
      <c r="E418" t="s">
        <v>382</v>
      </c>
      <c r="F418" t="s">
        <v>420</v>
      </c>
    </row>
    <row r="419" spans="1:6" customFormat="1" ht="15.75" hidden="1" thickBot="1">
      <c r="A419" t="s">
        <v>382</v>
      </c>
      <c r="B419" t="str">
        <f>"10677462254003793774"</f>
        <v>10677462254003793774</v>
      </c>
      <c r="C419" t="s">
        <v>382</v>
      </c>
      <c r="D419" t="s">
        <v>383</v>
      </c>
      <c r="E419" t="s">
        <v>382</v>
      </c>
      <c r="F419" t="s">
        <v>420</v>
      </c>
    </row>
    <row r="420" spans="1:6" customFormat="1" ht="15.75" hidden="1" thickBot="1">
      <c r="A420" t="s">
        <v>382</v>
      </c>
      <c r="B420" t="str">
        <f>"10677462254003942699"</f>
        <v>10677462254003942699</v>
      </c>
      <c r="C420" t="s">
        <v>382</v>
      </c>
      <c r="D420" t="s">
        <v>383</v>
      </c>
      <c r="E420" t="s">
        <v>382</v>
      </c>
      <c r="F420" t="s">
        <v>420</v>
      </c>
    </row>
    <row r="421" spans="1:6" customFormat="1" ht="15.75" hidden="1" thickBot="1">
      <c r="A421" t="s">
        <v>382</v>
      </c>
      <c r="B421" t="str">
        <f>"10677462254004156115"</f>
        <v>10677462254004156115</v>
      </c>
      <c r="C421" t="s">
        <v>382</v>
      </c>
      <c r="D421" t="s">
        <v>383</v>
      </c>
      <c r="E421" t="s">
        <v>382</v>
      </c>
      <c r="F421" t="s">
        <v>420</v>
      </c>
    </row>
    <row r="422" spans="1:6" customFormat="1" ht="15.75" hidden="1" thickBot="1">
      <c r="A422" t="s">
        <v>382</v>
      </c>
      <c r="B422" t="str">
        <f>"10677462254004665508"</f>
        <v>10677462254004665508</v>
      </c>
      <c r="C422" t="s">
        <v>382</v>
      </c>
      <c r="D422" t="s">
        <v>383</v>
      </c>
      <c r="E422" t="s">
        <v>382</v>
      </c>
      <c r="F422" t="s">
        <v>421</v>
      </c>
    </row>
    <row r="423" spans="1:6" customFormat="1" ht="15.75" hidden="1" thickBot="1">
      <c r="A423" t="s">
        <v>382</v>
      </c>
      <c r="B423" t="str">
        <f>"10677462254005367217"</f>
        <v>10677462254005367217</v>
      </c>
      <c r="C423" t="s">
        <v>382</v>
      </c>
      <c r="D423" t="s">
        <v>383</v>
      </c>
      <c r="E423" t="s">
        <v>382</v>
      </c>
      <c r="F423" t="s">
        <v>421</v>
      </c>
    </row>
    <row r="424" spans="1:6" customFormat="1" ht="15.75" hidden="1" thickBot="1">
      <c r="A424" t="s">
        <v>382</v>
      </c>
      <c r="B424" t="str">
        <f>"10677462254005728740"</f>
        <v>10677462254005728740</v>
      </c>
      <c r="C424" t="s">
        <v>382</v>
      </c>
      <c r="D424" t="s">
        <v>383</v>
      </c>
      <c r="E424" t="s">
        <v>382</v>
      </c>
      <c r="F424" t="s">
        <v>421</v>
      </c>
    </row>
    <row r="425" spans="1:6" customFormat="1" ht="15.75" hidden="1" thickBot="1">
      <c r="A425" t="s">
        <v>382</v>
      </c>
      <c r="B425" t="str">
        <f>"10677462254005799362"</f>
        <v>10677462254005799362</v>
      </c>
      <c r="C425" t="s">
        <v>382</v>
      </c>
      <c r="D425" t="s">
        <v>383</v>
      </c>
      <c r="E425" t="s">
        <v>382</v>
      </c>
      <c r="F425" t="s">
        <v>421</v>
      </c>
    </row>
    <row r="426" spans="1:6" customFormat="1" ht="15.75" hidden="1" thickBot="1">
      <c r="A426" t="s">
        <v>382</v>
      </c>
      <c r="B426" t="str">
        <f>"10677462254013530369"</f>
        <v>10677462254013530369</v>
      </c>
      <c r="C426" t="s">
        <v>382</v>
      </c>
      <c r="D426" t="s">
        <v>383</v>
      </c>
      <c r="E426" t="s">
        <v>382</v>
      </c>
      <c r="F426" t="s">
        <v>422</v>
      </c>
    </row>
    <row r="427" spans="1:6" customFormat="1" ht="15.75" hidden="1" thickBot="1">
      <c r="A427" t="s">
        <v>382</v>
      </c>
      <c r="B427" t="str">
        <f>"10677462254013587018"</f>
        <v>10677462254013587018</v>
      </c>
      <c r="C427" t="s">
        <v>382</v>
      </c>
      <c r="D427" t="s">
        <v>383</v>
      </c>
      <c r="E427" t="s">
        <v>382</v>
      </c>
      <c r="F427" t="s">
        <v>422</v>
      </c>
    </row>
    <row r="428" spans="1:6" customFormat="1" ht="15.75" hidden="1" thickBot="1">
      <c r="A428" t="s">
        <v>382</v>
      </c>
      <c r="B428" t="str">
        <f>"10677462254014022316"</f>
        <v>10677462254014022316</v>
      </c>
      <c r="C428" t="s">
        <v>382</v>
      </c>
      <c r="D428" t="s">
        <v>383</v>
      </c>
      <c r="E428" t="s">
        <v>382</v>
      </c>
      <c r="F428" t="s">
        <v>422</v>
      </c>
    </row>
    <row r="429" spans="1:6" customFormat="1" ht="15.75" hidden="1" thickBot="1">
      <c r="A429" t="s">
        <v>382</v>
      </c>
      <c r="B429" t="str">
        <f>"10677462254014503160"</f>
        <v>10677462254014503160</v>
      </c>
      <c r="C429" t="s">
        <v>382</v>
      </c>
      <c r="D429" t="s">
        <v>383</v>
      </c>
      <c r="E429" t="s">
        <v>382</v>
      </c>
      <c r="F429" t="s">
        <v>422</v>
      </c>
    </row>
    <row r="430" spans="1:6" customFormat="1" ht="15.75" hidden="1" thickBot="1">
      <c r="A430" t="s">
        <v>382</v>
      </c>
      <c r="B430" t="str">
        <f>"10677462254006715081"</f>
        <v>10677462254006715081</v>
      </c>
      <c r="C430" t="s">
        <v>382</v>
      </c>
      <c r="D430" t="s">
        <v>383</v>
      </c>
      <c r="E430" t="s">
        <v>382</v>
      </c>
      <c r="F430" t="s">
        <v>423</v>
      </c>
    </row>
    <row r="431" spans="1:6" customFormat="1" ht="15.75" hidden="1" thickBot="1">
      <c r="A431" t="s">
        <v>382</v>
      </c>
      <c r="B431" t="str">
        <f>"10677462254007015121"</f>
        <v>10677462254007015121</v>
      </c>
      <c r="C431" t="s">
        <v>382</v>
      </c>
      <c r="D431" t="s">
        <v>383</v>
      </c>
      <c r="E431" t="s">
        <v>382</v>
      </c>
      <c r="F431" t="s">
        <v>423</v>
      </c>
    </row>
    <row r="432" spans="1:6" customFormat="1" ht="15.75" hidden="1" thickBot="1">
      <c r="A432" t="s">
        <v>382</v>
      </c>
      <c r="B432" t="str">
        <f>"10677462254007156124"</f>
        <v>10677462254007156124</v>
      </c>
      <c r="C432" t="s">
        <v>382</v>
      </c>
      <c r="D432" t="s">
        <v>383</v>
      </c>
      <c r="E432" t="s">
        <v>382</v>
      </c>
      <c r="F432" t="s">
        <v>423</v>
      </c>
    </row>
    <row r="433" spans="1:6" customFormat="1" ht="15.75" hidden="1" thickBot="1">
      <c r="A433" t="s">
        <v>382</v>
      </c>
      <c r="B433" t="str">
        <f>"10677462254007163686"</f>
        <v>10677462254007163686</v>
      </c>
      <c r="C433" t="s">
        <v>382</v>
      </c>
      <c r="D433" t="s">
        <v>383</v>
      </c>
      <c r="E433" t="s">
        <v>382</v>
      </c>
      <c r="F433" t="s">
        <v>423</v>
      </c>
    </row>
    <row r="434" spans="1:6" customFormat="1" ht="15.75" hidden="1" thickBot="1">
      <c r="A434" t="s">
        <v>382</v>
      </c>
      <c r="B434" t="str">
        <f>"10677462254007388262"</f>
        <v>10677462254007388262</v>
      </c>
      <c r="C434" t="s">
        <v>382</v>
      </c>
      <c r="D434" t="s">
        <v>383</v>
      </c>
      <c r="E434" t="s">
        <v>382</v>
      </c>
      <c r="F434" t="s">
        <v>424</v>
      </c>
    </row>
    <row r="435" spans="1:6" customFormat="1" ht="15.75" hidden="1" thickBot="1">
      <c r="A435" t="s">
        <v>382</v>
      </c>
      <c r="B435" t="str">
        <f>"10677462254007615528"</f>
        <v>10677462254007615528</v>
      </c>
      <c r="C435" t="s">
        <v>382</v>
      </c>
      <c r="D435" t="s">
        <v>383</v>
      </c>
      <c r="E435" t="s">
        <v>382</v>
      </c>
      <c r="F435" t="s">
        <v>424</v>
      </c>
    </row>
    <row r="436" spans="1:6" customFormat="1" ht="15.75" hidden="1" thickBot="1">
      <c r="A436" t="s">
        <v>382</v>
      </c>
      <c r="B436" t="str">
        <f>"10677462254007674877"</f>
        <v>10677462254007674877</v>
      </c>
      <c r="C436" t="s">
        <v>382</v>
      </c>
      <c r="D436" t="s">
        <v>383</v>
      </c>
      <c r="E436" t="s">
        <v>382</v>
      </c>
      <c r="F436" t="s">
        <v>424</v>
      </c>
    </row>
    <row r="437" spans="1:6" customFormat="1" ht="15.75" hidden="1" thickBot="1">
      <c r="A437" t="s">
        <v>382</v>
      </c>
      <c r="B437" t="str">
        <f>"10677462254007703761"</f>
        <v>10677462254007703761</v>
      </c>
      <c r="C437" t="s">
        <v>382</v>
      </c>
      <c r="D437" t="s">
        <v>383</v>
      </c>
      <c r="E437" t="s">
        <v>382</v>
      </c>
      <c r="F437" t="s">
        <v>424</v>
      </c>
    </row>
    <row r="438" spans="1:6" customFormat="1" ht="15.75" hidden="1" thickBot="1">
      <c r="A438" t="s">
        <v>382</v>
      </c>
      <c r="B438" t="str">
        <f>"10677462254010806622"</f>
        <v>10677462254010806622</v>
      </c>
      <c r="C438" t="s">
        <v>382</v>
      </c>
      <c r="D438" t="s">
        <v>383</v>
      </c>
      <c r="E438" t="s">
        <v>382</v>
      </c>
      <c r="F438" t="s">
        <v>425</v>
      </c>
    </row>
    <row r="439" spans="1:6" customFormat="1" ht="15.75" hidden="1" thickBot="1">
      <c r="A439" t="s">
        <v>382</v>
      </c>
      <c r="B439" t="str">
        <f>"10677462254010917122"</f>
        <v>10677462254010917122</v>
      </c>
      <c r="C439" t="s">
        <v>382</v>
      </c>
      <c r="D439" t="s">
        <v>383</v>
      </c>
      <c r="E439" t="s">
        <v>382</v>
      </c>
      <c r="F439" t="s">
        <v>425</v>
      </c>
    </row>
    <row r="440" spans="1:6" customFormat="1" ht="15.75" hidden="1" thickBot="1">
      <c r="A440" t="s">
        <v>382</v>
      </c>
      <c r="B440" t="str">
        <f>"10677462254011294676"</f>
        <v>10677462254011294676</v>
      </c>
      <c r="C440" t="s">
        <v>382</v>
      </c>
      <c r="D440" t="s">
        <v>383</v>
      </c>
      <c r="E440" t="s">
        <v>382</v>
      </c>
      <c r="F440" t="s">
        <v>425</v>
      </c>
    </row>
    <row r="441" spans="1:6" customFormat="1" ht="15.75" hidden="1" thickBot="1">
      <c r="A441" t="s">
        <v>382</v>
      </c>
      <c r="B441" t="str">
        <f>"10677462254011413950"</f>
        <v>10677462254011413950</v>
      </c>
      <c r="C441" t="s">
        <v>382</v>
      </c>
      <c r="D441" t="s">
        <v>383</v>
      </c>
      <c r="E441" t="s">
        <v>382</v>
      </c>
      <c r="F441" t="s">
        <v>425</v>
      </c>
    </row>
    <row r="442" spans="1:6" customFormat="1" ht="15.75" hidden="1" thickBot="1">
      <c r="A442" t="s">
        <v>382</v>
      </c>
      <c r="B442" t="str">
        <f>"10677462254009718480"</f>
        <v>10677462254009718480</v>
      </c>
      <c r="C442" t="s">
        <v>382</v>
      </c>
      <c r="D442" t="s">
        <v>383</v>
      </c>
      <c r="E442" t="s">
        <v>382</v>
      </c>
      <c r="F442" t="s">
        <v>426</v>
      </c>
    </row>
    <row r="443" spans="1:6" customFormat="1" ht="15.75" hidden="1" thickBot="1">
      <c r="A443" t="s">
        <v>382</v>
      </c>
      <c r="B443" t="str">
        <f>"10677462254010624435"</f>
        <v>10677462254010624435</v>
      </c>
      <c r="C443" t="s">
        <v>382</v>
      </c>
      <c r="D443" t="s">
        <v>383</v>
      </c>
      <c r="E443" t="s">
        <v>382</v>
      </c>
      <c r="F443" t="s">
        <v>426</v>
      </c>
    </row>
    <row r="444" spans="1:6" customFormat="1" ht="15.75" hidden="1" thickBot="1">
      <c r="A444" t="s">
        <v>382</v>
      </c>
      <c r="B444" t="str">
        <f>"10677462254010764555"</f>
        <v>10677462254010764555</v>
      </c>
      <c r="C444" t="s">
        <v>382</v>
      </c>
      <c r="D444" t="s">
        <v>383</v>
      </c>
      <c r="E444" t="s">
        <v>382</v>
      </c>
      <c r="F444" t="s">
        <v>426</v>
      </c>
    </row>
    <row r="445" spans="1:6" customFormat="1" ht="15.75" hidden="1" thickBot="1">
      <c r="A445" t="s">
        <v>382</v>
      </c>
      <c r="B445" t="str">
        <f>"10677462254010796201"</f>
        <v>10677462254010796201</v>
      </c>
      <c r="C445" t="s">
        <v>382</v>
      </c>
      <c r="D445" t="s">
        <v>383</v>
      </c>
      <c r="E445" t="s">
        <v>382</v>
      </c>
      <c r="F445" t="s">
        <v>426</v>
      </c>
    </row>
    <row r="446" spans="1:6" customFormat="1" ht="15.75" hidden="1" thickBot="1">
      <c r="A446" t="s">
        <v>382</v>
      </c>
      <c r="B446" t="str">
        <f>"10677462254017322094"</f>
        <v>10677462254017322094</v>
      </c>
      <c r="C446" t="s">
        <v>382</v>
      </c>
      <c r="D446" t="s">
        <v>383</v>
      </c>
      <c r="E446" t="s">
        <v>382</v>
      </c>
      <c r="F446" t="s">
        <v>427</v>
      </c>
    </row>
    <row r="447" spans="1:6" customFormat="1" ht="15.75" hidden="1" thickBot="1">
      <c r="A447" t="s">
        <v>382</v>
      </c>
      <c r="B447" t="str">
        <f>"10677462254017364483"</f>
        <v>10677462254017364483</v>
      </c>
      <c r="C447" t="s">
        <v>382</v>
      </c>
      <c r="D447" t="s">
        <v>383</v>
      </c>
      <c r="E447" t="s">
        <v>382</v>
      </c>
      <c r="F447" t="s">
        <v>427</v>
      </c>
    </row>
    <row r="448" spans="1:6" customFormat="1" ht="15.75" hidden="1" thickBot="1">
      <c r="A448" t="s">
        <v>382</v>
      </c>
      <c r="B448" t="str">
        <f>"10677462254017642811"</f>
        <v>10677462254017642811</v>
      </c>
      <c r="C448" t="s">
        <v>382</v>
      </c>
      <c r="D448" t="s">
        <v>383</v>
      </c>
      <c r="E448" t="s">
        <v>382</v>
      </c>
      <c r="F448" t="s">
        <v>427</v>
      </c>
    </row>
    <row r="449" spans="1:6" customFormat="1" ht="15.75" hidden="1" thickBot="1">
      <c r="A449" t="s">
        <v>382</v>
      </c>
      <c r="B449" t="str">
        <f>"10677462254017738320"</f>
        <v>10677462254017738320</v>
      </c>
      <c r="C449" t="s">
        <v>382</v>
      </c>
      <c r="D449" t="s">
        <v>383</v>
      </c>
      <c r="E449" t="s">
        <v>382</v>
      </c>
      <c r="F449" t="s">
        <v>427</v>
      </c>
    </row>
    <row r="450" spans="1:6" customFormat="1" ht="15.75" hidden="1" thickBot="1">
      <c r="A450" t="s">
        <v>382</v>
      </c>
      <c r="B450" t="str">
        <f>"10677462254018091592"</f>
        <v>10677462254018091592</v>
      </c>
      <c r="C450" t="s">
        <v>382</v>
      </c>
      <c r="D450" t="s">
        <v>383</v>
      </c>
      <c r="E450" t="s">
        <v>382</v>
      </c>
      <c r="F450" t="s">
        <v>428</v>
      </c>
    </row>
    <row r="451" spans="1:6" customFormat="1" ht="15.75" hidden="1" thickBot="1">
      <c r="A451" t="s">
        <v>382</v>
      </c>
      <c r="B451" t="str">
        <f>"10677462254018656433"</f>
        <v>10677462254018656433</v>
      </c>
      <c r="C451" t="s">
        <v>382</v>
      </c>
      <c r="D451" t="s">
        <v>383</v>
      </c>
      <c r="E451" t="s">
        <v>382</v>
      </c>
      <c r="F451" t="s">
        <v>428</v>
      </c>
    </row>
    <row r="452" spans="1:6" customFormat="1" ht="15.75" hidden="1" thickBot="1">
      <c r="A452" t="s">
        <v>382</v>
      </c>
      <c r="B452" t="str">
        <f>"10677462254018881143"</f>
        <v>10677462254018881143</v>
      </c>
      <c r="C452" t="s">
        <v>382</v>
      </c>
      <c r="D452" t="s">
        <v>383</v>
      </c>
      <c r="E452" t="s">
        <v>382</v>
      </c>
      <c r="F452" t="s">
        <v>428</v>
      </c>
    </row>
    <row r="453" spans="1:6" customFormat="1" ht="15.75" hidden="1" thickBot="1">
      <c r="A453" t="s">
        <v>382</v>
      </c>
      <c r="B453" t="str">
        <f>"10677462254018922451"</f>
        <v>10677462254018922451</v>
      </c>
      <c r="C453" t="s">
        <v>382</v>
      </c>
      <c r="D453" t="s">
        <v>383</v>
      </c>
      <c r="E453" t="s">
        <v>382</v>
      </c>
      <c r="F453" t="s">
        <v>428</v>
      </c>
    </row>
    <row r="454" spans="1:6" customFormat="1" ht="15.75" hidden="1" thickBot="1">
      <c r="A454" t="s">
        <v>382</v>
      </c>
      <c r="B454" t="str">
        <f>"10677462254022690241"</f>
        <v>10677462254022690241</v>
      </c>
      <c r="C454" t="s">
        <v>382</v>
      </c>
      <c r="D454" t="s">
        <v>383</v>
      </c>
      <c r="E454" t="s">
        <v>382</v>
      </c>
      <c r="F454" t="s">
        <v>429</v>
      </c>
    </row>
    <row r="455" spans="1:6" customFormat="1" ht="15.75" hidden="1" thickBot="1">
      <c r="A455" t="s">
        <v>382</v>
      </c>
      <c r="B455" t="str">
        <f>"10677462254023278018"</f>
        <v>10677462254023278018</v>
      </c>
      <c r="C455" t="s">
        <v>382</v>
      </c>
      <c r="D455" t="s">
        <v>383</v>
      </c>
      <c r="E455" t="s">
        <v>382</v>
      </c>
      <c r="F455" t="s">
        <v>429</v>
      </c>
    </row>
    <row r="456" spans="1:6" customFormat="1" ht="15.75" hidden="1" thickBot="1">
      <c r="A456" t="s">
        <v>382</v>
      </c>
      <c r="B456" t="str">
        <f>"10677462254023280756"</f>
        <v>10677462254023280756</v>
      </c>
      <c r="C456" t="s">
        <v>382</v>
      </c>
      <c r="D456" t="s">
        <v>383</v>
      </c>
      <c r="E456" t="s">
        <v>382</v>
      </c>
      <c r="F456" t="s">
        <v>429</v>
      </c>
    </row>
    <row r="457" spans="1:6" customFormat="1" ht="15.75" hidden="1" thickBot="1">
      <c r="A457" t="s">
        <v>382</v>
      </c>
      <c r="B457" t="str">
        <f>"10677462254023442853"</f>
        <v>10677462254023442853</v>
      </c>
      <c r="C457" t="s">
        <v>382</v>
      </c>
      <c r="D457" t="s">
        <v>383</v>
      </c>
      <c r="E457" t="s">
        <v>382</v>
      </c>
      <c r="F457" t="s">
        <v>429</v>
      </c>
    </row>
    <row r="458" spans="1:6" customFormat="1" ht="15.75" hidden="1" thickBot="1">
      <c r="A458" t="s">
        <v>382</v>
      </c>
      <c r="B458" t="str">
        <f>"10677462254024487311"</f>
        <v>10677462254024487311</v>
      </c>
      <c r="C458" t="s">
        <v>382</v>
      </c>
      <c r="D458" t="s">
        <v>383</v>
      </c>
      <c r="E458" t="s">
        <v>382</v>
      </c>
      <c r="F458" t="s">
        <v>430</v>
      </c>
    </row>
    <row r="459" spans="1:6" customFormat="1" ht="15.75" hidden="1" thickBot="1">
      <c r="A459" t="s">
        <v>382</v>
      </c>
      <c r="B459" t="str">
        <f>"10677462254024876555"</f>
        <v>10677462254024876555</v>
      </c>
      <c r="C459" t="s">
        <v>382</v>
      </c>
      <c r="D459" t="s">
        <v>383</v>
      </c>
      <c r="E459" t="s">
        <v>382</v>
      </c>
      <c r="F459" t="s">
        <v>430</v>
      </c>
    </row>
    <row r="460" spans="1:6" customFormat="1" ht="15.75" hidden="1" thickBot="1">
      <c r="A460" t="s">
        <v>382</v>
      </c>
      <c r="B460" t="str">
        <f>"10677462254025110343"</f>
        <v>10677462254025110343</v>
      </c>
      <c r="C460" t="s">
        <v>382</v>
      </c>
      <c r="D460" t="s">
        <v>383</v>
      </c>
      <c r="E460" t="s">
        <v>382</v>
      </c>
      <c r="F460" t="s">
        <v>430</v>
      </c>
    </row>
    <row r="461" spans="1:6" customFormat="1" ht="15.75" hidden="1" thickBot="1">
      <c r="A461" t="s">
        <v>382</v>
      </c>
      <c r="B461" t="str">
        <f>"10677462254025291259"</f>
        <v>10677462254025291259</v>
      </c>
      <c r="C461" t="s">
        <v>382</v>
      </c>
      <c r="D461" t="s">
        <v>383</v>
      </c>
      <c r="E461" t="s">
        <v>382</v>
      </c>
      <c r="F461" t="s">
        <v>430</v>
      </c>
    </row>
    <row r="462" spans="1:6" customFormat="1" ht="15.75" hidden="1" thickBot="1">
      <c r="A462" t="s">
        <v>382</v>
      </c>
      <c r="B462" t="str">
        <f>"10677462254025680212"</f>
        <v>10677462254025680212</v>
      </c>
      <c r="C462" t="s">
        <v>382</v>
      </c>
      <c r="D462" t="s">
        <v>383</v>
      </c>
      <c r="E462" t="s">
        <v>382</v>
      </c>
      <c r="F462" t="s">
        <v>431</v>
      </c>
    </row>
    <row r="463" spans="1:6" customFormat="1" ht="15.75" hidden="1" thickBot="1">
      <c r="A463" t="s">
        <v>382</v>
      </c>
      <c r="B463" t="str">
        <f>"10677462254025830486"</f>
        <v>10677462254025830486</v>
      </c>
      <c r="C463" t="s">
        <v>382</v>
      </c>
      <c r="D463" t="s">
        <v>383</v>
      </c>
      <c r="E463" t="s">
        <v>382</v>
      </c>
      <c r="F463" t="s">
        <v>431</v>
      </c>
    </row>
    <row r="464" spans="1:6" customFormat="1" ht="15.75" hidden="1" thickBot="1">
      <c r="A464" t="s">
        <v>382</v>
      </c>
      <c r="B464" t="str">
        <f>"10677462254025994608"</f>
        <v>10677462254025994608</v>
      </c>
      <c r="C464" t="s">
        <v>382</v>
      </c>
      <c r="D464" t="s">
        <v>383</v>
      </c>
      <c r="E464" t="s">
        <v>382</v>
      </c>
      <c r="F464" t="s">
        <v>431</v>
      </c>
    </row>
    <row r="465" spans="1:6" customFormat="1" ht="15.75" hidden="1" thickBot="1">
      <c r="A465" t="s">
        <v>382</v>
      </c>
      <c r="B465" t="str">
        <f>"10677462254026234022"</f>
        <v>10677462254026234022</v>
      </c>
      <c r="C465" t="s">
        <v>382</v>
      </c>
      <c r="D465" t="s">
        <v>383</v>
      </c>
      <c r="E465" t="s">
        <v>382</v>
      </c>
      <c r="F465" t="s">
        <v>431</v>
      </c>
    </row>
    <row r="466" spans="1:6" customFormat="1" ht="15.75" hidden="1" thickBot="1">
      <c r="A466" t="s">
        <v>382</v>
      </c>
      <c r="B466" t="str">
        <f>"10677462254027311788"</f>
        <v>10677462254027311788</v>
      </c>
      <c r="C466" t="s">
        <v>382</v>
      </c>
      <c r="D466" t="s">
        <v>383</v>
      </c>
      <c r="E466" t="s">
        <v>382</v>
      </c>
      <c r="F466" t="s">
        <v>432</v>
      </c>
    </row>
    <row r="467" spans="1:6" customFormat="1" ht="15.75" hidden="1" thickBot="1">
      <c r="A467" t="s">
        <v>382</v>
      </c>
      <c r="B467" t="str">
        <f>"10677462254027536097"</f>
        <v>10677462254027536097</v>
      </c>
      <c r="C467" t="s">
        <v>382</v>
      </c>
      <c r="D467" t="s">
        <v>383</v>
      </c>
      <c r="E467" t="s">
        <v>382</v>
      </c>
      <c r="F467" t="s">
        <v>432</v>
      </c>
    </row>
    <row r="468" spans="1:6" customFormat="1" ht="15.75" hidden="1" thickBot="1">
      <c r="A468" t="s">
        <v>382</v>
      </c>
      <c r="B468" t="str">
        <f>"10677462254028156778"</f>
        <v>10677462254028156778</v>
      </c>
      <c r="C468" t="s">
        <v>382</v>
      </c>
      <c r="D468" t="s">
        <v>383</v>
      </c>
      <c r="E468" t="s">
        <v>382</v>
      </c>
      <c r="F468" t="s">
        <v>432</v>
      </c>
    </row>
    <row r="469" spans="1:6" customFormat="1" ht="15.75" hidden="1" thickBot="1">
      <c r="A469" t="s">
        <v>382</v>
      </c>
      <c r="B469" t="str">
        <f>"10677462254028714290"</f>
        <v>10677462254028714290</v>
      </c>
      <c r="C469" t="s">
        <v>382</v>
      </c>
      <c r="D469" t="s">
        <v>383</v>
      </c>
      <c r="E469" t="s">
        <v>382</v>
      </c>
      <c r="F469" t="s">
        <v>432</v>
      </c>
    </row>
    <row r="470" spans="1:6" customFormat="1" ht="15.75" hidden="1" thickBot="1">
      <c r="A470" t="s">
        <v>382</v>
      </c>
      <c r="B470" t="str">
        <f>"10677462254026952852"</f>
        <v>10677462254026952852</v>
      </c>
      <c r="C470" t="s">
        <v>382</v>
      </c>
      <c r="D470" t="s">
        <v>383</v>
      </c>
      <c r="E470" t="s">
        <v>382</v>
      </c>
      <c r="F470" t="s">
        <v>433</v>
      </c>
    </row>
    <row r="471" spans="1:6" customFormat="1" ht="15.75" hidden="1" thickBot="1">
      <c r="A471" t="s">
        <v>382</v>
      </c>
      <c r="B471" t="str">
        <f>"10677462254026958052"</f>
        <v>10677462254026958052</v>
      </c>
      <c r="C471" t="s">
        <v>382</v>
      </c>
      <c r="D471" t="s">
        <v>383</v>
      </c>
      <c r="E471" t="s">
        <v>382</v>
      </c>
      <c r="F471" t="s">
        <v>433</v>
      </c>
    </row>
    <row r="472" spans="1:6" customFormat="1" ht="15.75" hidden="1" thickBot="1">
      <c r="A472" t="s">
        <v>382</v>
      </c>
      <c r="B472" t="str">
        <f>"10677462254027055820"</f>
        <v>10677462254027055820</v>
      </c>
      <c r="C472" t="s">
        <v>382</v>
      </c>
      <c r="D472" t="s">
        <v>383</v>
      </c>
      <c r="E472" t="s">
        <v>382</v>
      </c>
      <c r="F472" t="s">
        <v>433</v>
      </c>
    </row>
    <row r="473" spans="1:6" customFormat="1" ht="15.75" hidden="1" thickBot="1">
      <c r="A473" t="s">
        <v>382</v>
      </c>
      <c r="B473" t="str">
        <f>"10677462254027156099"</f>
        <v>10677462254027156099</v>
      </c>
      <c r="C473" t="s">
        <v>382</v>
      </c>
      <c r="D473" t="s">
        <v>383</v>
      </c>
      <c r="E473" t="s">
        <v>382</v>
      </c>
      <c r="F473" t="s">
        <v>433</v>
      </c>
    </row>
    <row r="474" spans="1:6" customFormat="1" ht="15.75" hidden="1" thickBot="1">
      <c r="A474" t="s">
        <v>382</v>
      </c>
      <c r="B474" t="str">
        <f>"10677462254028998698"</f>
        <v>10677462254028998698</v>
      </c>
      <c r="C474" t="s">
        <v>382</v>
      </c>
      <c r="D474" t="s">
        <v>383</v>
      </c>
      <c r="E474" t="s">
        <v>382</v>
      </c>
      <c r="F474" t="s">
        <v>434</v>
      </c>
    </row>
    <row r="475" spans="1:6" customFormat="1" ht="15.75" hidden="1" thickBot="1">
      <c r="A475" t="s">
        <v>382</v>
      </c>
      <c r="B475" t="str">
        <f>"10677462254029153276"</f>
        <v>10677462254029153276</v>
      </c>
      <c r="C475" t="s">
        <v>382</v>
      </c>
      <c r="D475" t="s">
        <v>383</v>
      </c>
      <c r="E475" t="s">
        <v>382</v>
      </c>
      <c r="F475" t="s">
        <v>434</v>
      </c>
    </row>
    <row r="476" spans="1:6" customFormat="1" ht="15.75" hidden="1" thickBot="1">
      <c r="A476" t="s">
        <v>382</v>
      </c>
      <c r="B476" t="str">
        <f>"10677462254029259082"</f>
        <v>10677462254029259082</v>
      </c>
      <c r="C476" t="s">
        <v>382</v>
      </c>
      <c r="D476" t="s">
        <v>383</v>
      </c>
      <c r="E476" t="s">
        <v>382</v>
      </c>
      <c r="F476" t="s">
        <v>434</v>
      </c>
    </row>
    <row r="477" spans="1:6" customFormat="1" ht="15.75" hidden="1" thickBot="1">
      <c r="A477" t="s">
        <v>382</v>
      </c>
      <c r="B477" t="str">
        <f>"10677462254029964304"</f>
        <v>10677462254029964304</v>
      </c>
      <c r="C477" t="s">
        <v>382</v>
      </c>
      <c r="D477" t="s">
        <v>383</v>
      </c>
      <c r="E477" t="s">
        <v>382</v>
      </c>
      <c r="F477" t="s">
        <v>434</v>
      </c>
    </row>
    <row r="478" spans="1:6" customFormat="1" ht="15.75" hidden="1" thickBot="1">
      <c r="A478" t="s">
        <v>382</v>
      </c>
      <c r="B478" t="str">
        <f>"10677462254030325883"</f>
        <v>10677462254030325883</v>
      </c>
      <c r="C478" t="s">
        <v>382</v>
      </c>
      <c r="D478" t="s">
        <v>383</v>
      </c>
      <c r="E478" t="s">
        <v>382</v>
      </c>
      <c r="F478" t="s">
        <v>435</v>
      </c>
    </row>
    <row r="479" spans="1:6" customFormat="1" ht="15.75" hidden="1" thickBot="1">
      <c r="A479" t="s">
        <v>382</v>
      </c>
      <c r="B479" t="str">
        <f>"10677462254030337393"</f>
        <v>10677462254030337393</v>
      </c>
      <c r="C479" t="s">
        <v>382</v>
      </c>
      <c r="D479" t="s">
        <v>383</v>
      </c>
      <c r="E479" t="s">
        <v>382</v>
      </c>
      <c r="F479" t="s">
        <v>435</v>
      </c>
    </row>
    <row r="480" spans="1:6" customFormat="1" ht="15.75" hidden="1" thickBot="1">
      <c r="A480" t="s">
        <v>382</v>
      </c>
      <c r="B480" t="str">
        <f>"10677462254030490434"</f>
        <v>10677462254030490434</v>
      </c>
      <c r="C480" t="s">
        <v>382</v>
      </c>
      <c r="D480" t="s">
        <v>383</v>
      </c>
      <c r="E480" t="s">
        <v>382</v>
      </c>
      <c r="F480" t="s">
        <v>435</v>
      </c>
    </row>
    <row r="481" spans="1:6" customFormat="1" ht="15.75" hidden="1" thickBot="1">
      <c r="A481" t="s">
        <v>382</v>
      </c>
      <c r="B481" t="str">
        <f>"10677462254031116110"</f>
        <v>10677462254031116110</v>
      </c>
      <c r="C481" t="s">
        <v>382</v>
      </c>
      <c r="D481" t="s">
        <v>383</v>
      </c>
      <c r="E481" t="s">
        <v>382</v>
      </c>
      <c r="F481" t="s">
        <v>435</v>
      </c>
    </row>
    <row r="482" spans="1:6" customFormat="1" ht="15.75" hidden="1" thickBot="1">
      <c r="A482" t="s">
        <v>382</v>
      </c>
      <c r="B482" t="str">
        <f>"10677462254031159782"</f>
        <v>10677462254031159782</v>
      </c>
      <c r="C482" t="s">
        <v>382</v>
      </c>
      <c r="D482" t="s">
        <v>383</v>
      </c>
      <c r="E482" t="s">
        <v>382</v>
      </c>
      <c r="F482" t="s">
        <v>436</v>
      </c>
    </row>
    <row r="483" spans="1:6" customFormat="1" ht="15.75" hidden="1" thickBot="1">
      <c r="A483" t="s">
        <v>382</v>
      </c>
      <c r="B483" t="str">
        <f>"10677462254031473703"</f>
        <v>10677462254031473703</v>
      </c>
      <c r="C483" t="s">
        <v>382</v>
      </c>
      <c r="D483" t="s">
        <v>383</v>
      </c>
      <c r="E483" t="s">
        <v>382</v>
      </c>
      <c r="F483" t="s">
        <v>436</v>
      </c>
    </row>
    <row r="484" spans="1:6" customFormat="1" ht="15.75" hidden="1" thickBot="1">
      <c r="A484" t="s">
        <v>382</v>
      </c>
      <c r="B484" t="str">
        <f>"10677462254031477970"</f>
        <v>10677462254031477970</v>
      </c>
      <c r="C484" t="s">
        <v>382</v>
      </c>
      <c r="D484" t="s">
        <v>383</v>
      </c>
      <c r="E484" t="s">
        <v>382</v>
      </c>
      <c r="F484" t="s">
        <v>436</v>
      </c>
    </row>
    <row r="485" spans="1:6" customFormat="1" ht="15.75" hidden="1" thickBot="1">
      <c r="A485" t="s">
        <v>382</v>
      </c>
      <c r="B485" t="str">
        <f>"10677462254031941286"</f>
        <v>10677462254031941286</v>
      </c>
      <c r="C485" t="s">
        <v>382</v>
      </c>
      <c r="D485" t="s">
        <v>383</v>
      </c>
      <c r="E485" t="s">
        <v>382</v>
      </c>
      <c r="F485" t="s">
        <v>436</v>
      </c>
    </row>
    <row r="486" spans="1:6" customFormat="1" ht="15.75" hidden="1" thickBot="1">
      <c r="A486" t="s">
        <v>382</v>
      </c>
      <c r="B486" t="str">
        <f>"10677462254032008389"</f>
        <v>10677462254032008389</v>
      </c>
      <c r="C486" t="s">
        <v>382</v>
      </c>
      <c r="D486" t="s">
        <v>383</v>
      </c>
      <c r="E486" t="s">
        <v>382</v>
      </c>
      <c r="F486" t="s">
        <v>437</v>
      </c>
    </row>
    <row r="487" spans="1:6" customFormat="1" ht="15.75" hidden="1" thickBot="1">
      <c r="A487" t="s">
        <v>382</v>
      </c>
      <c r="B487" t="str">
        <f>"10677462254032156329"</f>
        <v>10677462254032156329</v>
      </c>
      <c r="C487" t="s">
        <v>382</v>
      </c>
      <c r="D487" t="s">
        <v>383</v>
      </c>
      <c r="E487" t="s">
        <v>382</v>
      </c>
      <c r="F487" t="s">
        <v>437</v>
      </c>
    </row>
    <row r="488" spans="1:6" customFormat="1" ht="15.75" hidden="1" thickBot="1">
      <c r="A488" t="s">
        <v>382</v>
      </c>
      <c r="B488" t="str">
        <f>"10677462254032453617"</f>
        <v>10677462254032453617</v>
      </c>
      <c r="C488" t="s">
        <v>382</v>
      </c>
      <c r="D488" t="s">
        <v>383</v>
      </c>
      <c r="E488" t="s">
        <v>382</v>
      </c>
      <c r="F488" t="s">
        <v>437</v>
      </c>
    </row>
    <row r="489" spans="1:6" customFormat="1" ht="15.75" hidden="1" thickBot="1">
      <c r="A489" t="s">
        <v>382</v>
      </c>
      <c r="B489" t="str">
        <f>"10677462254032561118"</f>
        <v>10677462254032561118</v>
      </c>
      <c r="C489" t="s">
        <v>382</v>
      </c>
      <c r="D489" t="s">
        <v>383</v>
      </c>
      <c r="E489" t="s">
        <v>382</v>
      </c>
      <c r="F489" t="s">
        <v>437</v>
      </c>
    </row>
    <row r="490" spans="1:6" customFormat="1" ht="15.75" hidden="1" thickBot="1">
      <c r="A490" t="s">
        <v>382</v>
      </c>
      <c r="B490" t="str">
        <f>"10677462254032983624"</f>
        <v>10677462254032983624</v>
      </c>
      <c r="C490" t="s">
        <v>382</v>
      </c>
      <c r="D490" t="s">
        <v>383</v>
      </c>
      <c r="E490" t="s">
        <v>382</v>
      </c>
      <c r="F490" t="s">
        <v>438</v>
      </c>
    </row>
    <row r="491" spans="1:6" customFormat="1" ht="15.75" hidden="1" thickBot="1">
      <c r="A491" t="s">
        <v>382</v>
      </c>
      <c r="B491" t="str">
        <f>"10677462254033114549"</f>
        <v>10677462254033114549</v>
      </c>
      <c r="C491" t="s">
        <v>382</v>
      </c>
      <c r="D491" t="s">
        <v>383</v>
      </c>
      <c r="E491" t="s">
        <v>382</v>
      </c>
      <c r="F491" t="s">
        <v>438</v>
      </c>
    </row>
    <row r="492" spans="1:6" customFormat="1" ht="15.75" hidden="1" thickBot="1">
      <c r="A492" t="s">
        <v>382</v>
      </c>
      <c r="B492" t="str">
        <f>"10677462254033866680"</f>
        <v>10677462254033866680</v>
      </c>
      <c r="C492" t="s">
        <v>382</v>
      </c>
      <c r="D492" t="s">
        <v>383</v>
      </c>
      <c r="E492" t="s">
        <v>382</v>
      </c>
      <c r="F492" t="s">
        <v>438</v>
      </c>
    </row>
    <row r="493" spans="1:6" customFormat="1" ht="15.75" hidden="1" thickBot="1">
      <c r="A493" t="s">
        <v>382</v>
      </c>
      <c r="B493" t="str">
        <f>"10677462254033961241"</f>
        <v>10677462254033961241</v>
      </c>
      <c r="C493" t="s">
        <v>382</v>
      </c>
      <c r="D493" t="s">
        <v>383</v>
      </c>
      <c r="E493" t="s">
        <v>382</v>
      </c>
      <c r="F493" t="s">
        <v>438</v>
      </c>
    </row>
    <row r="494" spans="1:6" customFormat="1" ht="15.75" hidden="1" thickBot="1">
      <c r="A494" t="s">
        <v>382</v>
      </c>
      <c r="B494" t="str">
        <f>"10677462254034014831"</f>
        <v>10677462254034014831</v>
      </c>
      <c r="C494" t="s">
        <v>382</v>
      </c>
      <c r="D494" t="s">
        <v>383</v>
      </c>
      <c r="E494" t="s">
        <v>382</v>
      </c>
      <c r="F494" t="s">
        <v>439</v>
      </c>
    </row>
    <row r="495" spans="1:6" customFormat="1" ht="15.75" hidden="1" thickBot="1">
      <c r="A495" t="s">
        <v>382</v>
      </c>
      <c r="B495" t="str">
        <f>"10677462254034136384"</f>
        <v>10677462254034136384</v>
      </c>
      <c r="C495" t="s">
        <v>382</v>
      </c>
      <c r="D495" t="s">
        <v>383</v>
      </c>
      <c r="E495" t="s">
        <v>382</v>
      </c>
      <c r="F495" t="s">
        <v>439</v>
      </c>
    </row>
    <row r="496" spans="1:6" customFormat="1" ht="15.75" hidden="1" thickBot="1">
      <c r="A496" t="s">
        <v>382</v>
      </c>
      <c r="B496" t="str">
        <f>"10677462254034630583"</f>
        <v>10677462254034630583</v>
      </c>
      <c r="C496" t="s">
        <v>382</v>
      </c>
      <c r="D496" t="s">
        <v>383</v>
      </c>
      <c r="E496" t="s">
        <v>382</v>
      </c>
      <c r="F496" t="s">
        <v>439</v>
      </c>
    </row>
    <row r="497" spans="1:7" customFormat="1" ht="15.75" hidden="1" thickBot="1">
      <c r="A497" t="s">
        <v>382</v>
      </c>
      <c r="B497" t="str">
        <f>"10677462254034851849"</f>
        <v>10677462254034851849</v>
      </c>
      <c r="C497" t="s">
        <v>382</v>
      </c>
      <c r="D497" t="s">
        <v>383</v>
      </c>
      <c r="E497" t="s">
        <v>382</v>
      </c>
      <c r="F497" t="s">
        <v>439</v>
      </c>
    </row>
    <row r="498" spans="1:7" customFormat="1" ht="15.75" hidden="1" thickBot="1">
      <c r="A498" t="s">
        <v>382</v>
      </c>
      <c r="B498" t="str">
        <f>"10677462254035212297"</f>
        <v>10677462254035212297</v>
      </c>
      <c r="C498" t="s">
        <v>382</v>
      </c>
      <c r="D498" t="s">
        <v>383</v>
      </c>
      <c r="E498" t="s">
        <v>382</v>
      </c>
      <c r="F498" t="s">
        <v>440</v>
      </c>
    </row>
    <row r="499" spans="1:7" customFormat="1" ht="15.75" hidden="1" thickBot="1">
      <c r="A499" t="s">
        <v>382</v>
      </c>
      <c r="B499" t="str">
        <f>"10677462254035311325"</f>
        <v>10677462254035311325</v>
      </c>
      <c r="C499" t="s">
        <v>382</v>
      </c>
      <c r="D499" t="s">
        <v>383</v>
      </c>
      <c r="E499" t="s">
        <v>382</v>
      </c>
      <c r="F499" t="s">
        <v>440</v>
      </c>
    </row>
    <row r="500" spans="1:7" customFormat="1" ht="15.75" hidden="1" thickBot="1">
      <c r="A500" t="s">
        <v>382</v>
      </c>
      <c r="B500" t="str">
        <f>"10677462254036064321"</f>
        <v>10677462254036064321</v>
      </c>
      <c r="C500" t="s">
        <v>382</v>
      </c>
      <c r="D500" t="s">
        <v>383</v>
      </c>
      <c r="E500" t="s">
        <v>382</v>
      </c>
      <c r="F500" t="s">
        <v>440</v>
      </c>
    </row>
    <row r="501" spans="1:7" customFormat="1" ht="15.75" hidden="1" thickBot="1">
      <c r="A501" t="s">
        <v>382</v>
      </c>
      <c r="B501" t="str">
        <f>"10677462254036391926"</f>
        <v>10677462254036391926</v>
      </c>
      <c r="C501" t="s">
        <v>382</v>
      </c>
      <c r="D501" t="s">
        <v>383</v>
      </c>
      <c r="E501" t="s">
        <v>382</v>
      </c>
      <c r="F501" t="s">
        <v>440</v>
      </c>
    </row>
    <row r="502" spans="1:7" customFormat="1" ht="15.75" hidden="1" thickBot="1">
      <c r="A502" t="s">
        <v>382</v>
      </c>
      <c r="B502" t="str">
        <f>"10677462254036802258"</f>
        <v>10677462254036802258</v>
      </c>
      <c r="C502" t="s">
        <v>382</v>
      </c>
      <c r="D502" t="s">
        <v>383</v>
      </c>
      <c r="E502" t="s">
        <v>382</v>
      </c>
      <c r="F502" t="s">
        <v>441</v>
      </c>
    </row>
    <row r="503" spans="1:7" customFormat="1" ht="15.75" hidden="1" thickBot="1">
      <c r="A503" t="s">
        <v>382</v>
      </c>
      <c r="B503" t="str">
        <f>"10677462254036891066"</f>
        <v>10677462254036891066</v>
      </c>
      <c r="C503" t="s">
        <v>382</v>
      </c>
      <c r="D503" t="s">
        <v>383</v>
      </c>
      <c r="E503" t="s">
        <v>382</v>
      </c>
      <c r="F503" t="s">
        <v>441</v>
      </c>
    </row>
    <row r="504" spans="1:7" customFormat="1" ht="15.75" hidden="1" thickBot="1">
      <c r="A504" t="s">
        <v>382</v>
      </c>
      <c r="B504" t="str">
        <f>"10677462254037015553"</f>
        <v>10677462254037015553</v>
      </c>
      <c r="C504" t="s">
        <v>382</v>
      </c>
      <c r="D504" t="s">
        <v>383</v>
      </c>
      <c r="E504" t="s">
        <v>382</v>
      </c>
      <c r="F504" t="s">
        <v>441</v>
      </c>
    </row>
    <row r="505" spans="1:7" customFormat="1" ht="15.75" hidden="1" thickBot="1">
      <c r="A505" t="s">
        <v>382</v>
      </c>
      <c r="B505" t="str">
        <f>"10677462254037046017"</f>
        <v>10677462254037046017</v>
      </c>
      <c r="C505" t="s">
        <v>382</v>
      </c>
      <c r="D505" t="s">
        <v>383</v>
      </c>
      <c r="E505" t="s">
        <v>382</v>
      </c>
      <c r="F505" t="s">
        <v>442</v>
      </c>
    </row>
    <row r="506" spans="1:7" customFormat="1" ht="15.75" hidden="1" thickBot="1">
      <c r="A506" t="s">
        <v>382</v>
      </c>
      <c r="B506" t="str">
        <f>"10677462254037327334"</f>
        <v>10677462254037327334</v>
      </c>
      <c r="C506" t="s">
        <v>382</v>
      </c>
      <c r="D506" t="s">
        <v>383</v>
      </c>
      <c r="E506" t="s">
        <v>382</v>
      </c>
      <c r="F506" t="s">
        <v>443</v>
      </c>
    </row>
    <row r="507" spans="1:7" customFormat="1" ht="15.75" hidden="1" thickBot="1">
      <c r="A507" t="s">
        <v>382</v>
      </c>
      <c r="B507" t="str">
        <f>"10677462254037591074"</f>
        <v>10677462254037591074</v>
      </c>
      <c r="C507" t="s">
        <v>382</v>
      </c>
      <c r="D507" t="s">
        <v>383</v>
      </c>
      <c r="E507" t="s">
        <v>382</v>
      </c>
      <c r="F507" t="s">
        <v>443</v>
      </c>
    </row>
    <row r="508" spans="1:7" customFormat="1" ht="15.75" hidden="1" thickBot="1">
      <c r="A508" t="s">
        <v>382</v>
      </c>
      <c r="B508" t="str">
        <f>"10677462254039705565"</f>
        <v>10677462254039705565</v>
      </c>
      <c r="C508" t="s">
        <v>382</v>
      </c>
      <c r="D508" t="s">
        <v>383</v>
      </c>
      <c r="E508" t="s">
        <v>382</v>
      </c>
      <c r="F508" t="s">
        <v>444</v>
      </c>
    </row>
    <row r="509" spans="1:7" customFormat="1" ht="15.75" hidden="1" thickBot="1">
      <c r="A509" t="s">
        <v>382</v>
      </c>
      <c r="B509" t="str">
        <f>"10677462254041685835"</f>
        <v>10677462254041685835</v>
      </c>
      <c r="C509" t="s">
        <v>382</v>
      </c>
      <c r="D509" t="s">
        <v>383</v>
      </c>
      <c r="E509" t="s">
        <v>382</v>
      </c>
      <c r="F509" t="s">
        <v>444</v>
      </c>
    </row>
    <row r="510" spans="1:7" customFormat="1" ht="15.75" hidden="1" thickBot="1">
      <c r="A510" t="s">
        <v>382</v>
      </c>
      <c r="B510" t="str">
        <f>"10677462254042845958"</f>
        <v>10677462254042845958</v>
      </c>
      <c r="C510" t="s">
        <v>382</v>
      </c>
      <c r="D510" t="s">
        <v>383</v>
      </c>
      <c r="E510" t="s">
        <v>382</v>
      </c>
      <c r="F510" t="s">
        <v>444</v>
      </c>
    </row>
    <row r="511" spans="1:7" customFormat="1" ht="15.75" hidden="1" thickBot="1">
      <c r="A511" t="s">
        <v>382</v>
      </c>
      <c r="B511" t="str">
        <f>"10677462254044562424"</f>
        <v>10677462254044562424</v>
      </c>
      <c r="C511" t="s">
        <v>382</v>
      </c>
      <c r="D511" t="s">
        <v>383</v>
      </c>
      <c r="E511" t="s">
        <v>382</v>
      </c>
      <c r="F511" t="s">
        <v>444</v>
      </c>
    </row>
    <row r="512" spans="1:7" s="4" customFormat="1" ht="15.75" hidden="1" thickBot="1">
      <c r="A512" s="3" t="s">
        <v>445</v>
      </c>
      <c r="B512" s="10" t="str">
        <f>"10673342243451106391"</f>
        <v>10673342243451106391</v>
      </c>
      <c r="C512" s="10" t="s">
        <v>382</v>
      </c>
      <c r="D512" s="10" t="s">
        <v>446</v>
      </c>
      <c r="E512" s="10" t="s">
        <v>445</v>
      </c>
      <c r="F512" s="10" t="s">
        <v>447</v>
      </c>
      <c r="G512" s="10"/>
    </row>
    <row r="513" spans="1:7" ht="15.75" hidden="1" thickBot="1">
      <c r="A513" s="5" t="s">
        <v>448</v>
      </c>
      <c r="B513" s="11" t="str">
        <f>"10673342243451264051"</f>
        <v>10673342243451264051</v>
      </c>
      <c r="C513" s="11" t="s">
        <v>382</v>
      </c>
      <c r="D513" s="11" t="s">
        <v>446</v>
      </c>
      <c r="E513" s="11" t="s">
        <v>448</v>
      </c>
      <c r="F513" s="11" t="s">
        <v>447</v>
      </c>
    </row>
    <row r="514" spans="1:7" ht="15.75" hidden="1" thickBot="1">
      <c r="A514" s="5" t="s">
        <v>449</v>
      </c>
      <c r="B514" s="11" t="str">
        <f>"10673342243451589627"</f>
        <v>10673342243451589627</v>
      </c>
      <c r="C514" s="11" t="s">
        <v>382</v>
      </c>
      <c r="D514" s="11" t="s">
        <v>446</v>
      </c>
      <c r="E514" s="11" t="s">
        <v>449</v>
      </c>
      <c r="F514" s="11" t="s">
        <v>447</v>
      </c>
    </row>
    <row r="515" spans="1:7" s="8" customFormat="1" ht="15.75" hidden="1" thickBot="1">
      <c r="A515" s="7" t="s">
        <v>450</v>
      </c>
      <c r="B515" s="12" t="str">
        <f>"10673342243452229392"</f>
        <v>10673342243452229392</v>
      </c>
      <c r="C515" s="12" t="s">
        <v>382</v>
      </c>
      <c r="D515" s="12" t="s">
        <v>446</v>
      </c>
      <c r="E515" s="12" t="s">
        <v>450</v>
      </c>
      <c r="F515" s="12" t="s">
        <v>447</v>
      </c>
      <c r="G515" s="12"/>
    </row>
    <row r="516" spans="1:7" customFormat="1" ht="15.75" hidden="1" thickBot="1">
      <c r="A516" t="s">
        <v>382</v>
      </c>
      <c r="B516" t="str">
        <f>"10673342243492866595"</f>
        <v>10673342243492866595</v>
      </c>
      <c r="C516" t="s">
        <v>382</v>
      </c>
      <c r="D516" t="s">
        <v>383</v>
      </c>
      <c r="E516" t="s">
        <v>382</v>
      </c>
      <c r="F516" t="s">
        <v>451</v>
      </c>
    </row>
    <row r="517" spans="1:7" customFormat="1" ht="15.75" hidden="1" thickBot="1">
      <c r="A517" t="s">
        <v>382</v>
      </c>
      <c r="B517" t="str">
        <f>"10673342243492874130"</f>
        <v>10673342243492874130</v>
      </c>
      <c r="C517" t="s">
        <v>382</v>
      </c>
      <c r="D517" t="s">
        <v>383</v>
      </c>
      <c r="E517" t="s">
        <v>382</v>
      </c>
      <c r="F517" t="s">
        <v>451</v>
      </c>
    </row>
    <row r="518" spans="1:7" customFormat="1" ht="15.75" hidden="1" thickBot="1">
      <c r="A518" t="s">
        <v>382</v>
      </c>
      <c r="B518" t="str">
        <f>"10673342243492917246"</f>
        <v>10673342243492917246</v>
      </c>
      <c r="C518" t="s">
        <v>382</v>
      </c>
      <c r="D518" t="s">
        <v>383</v>
      </c>
      <c r="E518" t="s">
        <v>382</v>
      </c>
      <c r="F518" t="s">
        <v>451</v>
      </c>
    </row>
    <row r="519" spans="1:7" customFormat="1" ht="15.75" hidden="1" thickBot="1">
      <c r="A519" t="s">
        <v>382</v>
      </c>
      <c r="B519" t="str">
        <f>"10673342243493048934"</f>
        <v>10673342243493048934</v>
      </c>
      <c r="C519" t="s">
        <v>382</v>
      </c>
      <c r="D519" t="s">
        <v>383</v>
      </c>
      <c r="E519" t="s">
        <v>382</v>
      </c>
      <c r="F519" t="s">
        <v>451</v>
      </c>
    </row>
    <row r="520" spans="1:7" customFormat="1" ht="15.75" hidden="1" thickBot="1">
      <c r="A520" t="s">
        <v>382</v>
      </c>
      <c r="B520" t="str">
        <f>"10673342253420510849"</f>
        <v>10673342253420510849</v>
      </c>
      <c r="C520" t="s">
        <v>382</v>
      </c>
      <c r="D520" t="s">
        <v>383</v>
      </c>
      <c r="E520" t="s">
        <v>382</v>
      </c>
      <c r="F520" t="s">
        <v>452</v>
      </c>
    </row>
    <row r="521" spans="1:7" customFormat="1" ht="15.75" hidden="1" thickBot="1">
      <c r="A521" t="s">
        <v>382</v>
      </c>
      <c r="B521" t="str">
        <f>"10673342253420827126"</f>
        <v>10673342253420827126</v>
      </c>
      <c r="C521" t="s">
        <v>382</v>
      </c>
      <c r="D521" t="s">
        <v>383</v>
      </c>
      <c r="E521" t="s">
        <v>382</v>
      </c>
      <c r="F521" t="s">
        <v>452</v>
      </c>
    </row>
    <row r="522" spans="1:7" customFormat="1" ht="15.75" hidden="1" thickBot="1">
      <c r="A522" t="s">
        <v>382</v>
      </c>
      <c r="B522" t="str">
        <f>"10673342253421268600"</f>
        <v>10673342253421268600</v>
      </c>
      <c r="C522" t="s">
        <v>382</v>
      </c>
      <c r="D522" t="s">
        <v>383</v>
      </c>
      <c r="E522" t="s">
        <v>382</v>
      </c>
      <c r="F522" t="s">
        <v>452</v>
      </c>
    </row>
    <row r="523" spans="1:7" customFormat="1" ht="15.75" hidden="1" thickBot="1">
      <c r="A523" t="s">
        <v>382</v>
      </c>
      <c r="B523" t="str">
        <f>"10673342253421344366"</f>
        <v>10673342253421344366</v>
      </c>
      <c r="C523" t="s">
        <v>382</v>
      </c>
      <c r="D523" t="s">
        <v>383</v>
      </c>
      <c r="E523" t="s">
        <v>382</v>
      </c>
      <c r="F523" t="s">
        <v>452</v>
      </c>
    </row>
    <row r="524" spans="1:7" customFormat="1" ht="15.75" hidden="1" thickBot="1">
      <c r="A524" t="s">
        <v>382</v>
      </c>
      <c r="B524" t="str">
        <f>"10673342253421541994"</f>
        <v>10673342253421541994</v>
      </c>
      <c r="C524" t="s">
        <v>382</v>
      </c>
      <c r="D524" t="s">
        <v>383</v>
      </c>
      <c r="E524" t="s">
        <v>382</v>
      </c>
      <c r="F524" t="s">
        <v>452</v>
      </c>
    </row>
    <row r="525" spans="1:7" customFormat="1" ht="15.75" hidden="1" thickBot="1">
      <c r="A525" t="s">
        <v>382</v>
      </c>
      <c r="B525" t="str">
        <f>"10673342253425206464"</f>
        <v>10673342253425206464</v>
      </c>
      <c r="C525" t="s">
        <v>382</v>
      </c>
      <c r="D525" t="s">
        <v>383</v>
      </c>
      <c r="E525" t="s">
        <v>382</v>
      </c>
      <c r="F525" t="s">
        <v>453</v>
      </c>
    </row>
    <row r="526" spans="1:7" customFormat="1" ht="15.75" hidden="1" thickBot="1">
      <c r="A526" t="s">
        <v>382</v>
      </c>
      <c r="B526" t="str">
        <f>"10673342253425382068"</f>
        <v>10673342253425382068</v>
      </c>
      <c r="C526" t="s">
        <v>382</v>
      </c>
      <c r="D526" t="s">
        <v>383</v>
      </c>
      <c r="E526" t="s">
        <v>382</v>
      </c>
      <c r="F526" t="s">
        <v>453</v>
      </c>
    </row>
    <row r="527" spans="1:7" customFormat="1" ht="15.75" hidden="1" thickBot="1">
      <c r="A527" t="s">
        <v>382</v>
      </c>
      <c r="B527" t="str">
        <f>"10673342253425448190"</f>
        <v>10673342253425448190</v>
      </c>
      <c r="C527" t="s">
        <v>382</v>
      </c>
      <c r="D527" t="s">
        <v>383</v>
      </c>
      <c r="E527" t="s">
        <v>382</v>
      </c>
      <c r="F527" t="s">
        <v>453</v>
      </c>
    </row>
    <row r="528" spans="1:7" customFormat="1" ht="15.75" hidden="1" thickBot="1">
      <c r="A528" t="s">
        <v>382</v>
      </c>
      <c r="B528" t="str">
        <f>"10673342253425522633"</f>
        <v>10673342253425522633</v>
      </c>
      <c r="C528" t="s">
        <v>382</v>
      </c>
      <c r="D528" t="s">
        <v>383</v>
      </c>
      <c r="E528" t="s">
        <v>382</v>
      </c>
      <c r="F528" t="s">
        <v>453</v>
      </c>
    </row>
    <row r="529" spans="1:6" customFormat="1" ht="15.75" hidden="1" thickBot="1">
      <c r="A529" t="s">
        <v>382</v>
      </c>
      <c r="B529" t="str">
        <f>"10673342253425617995"</f>
        <v>10673342253425617995</v>
      </c>
      <c r="C529" t="s">
        <v>382</v>
      </c>
      <c r="D529" t="s">
        <v>383</v>
      </c>
      <c r="E529" t="s">
        <v>382</v>
      </c>
      <c r="F529" t="s">
        <v>453</v>
      </c>
    </row>
    <row r="530" spans="1:6" customFormat="1" ht="15.75" hidden="1" thickBot="1">
      <c r="A530" t="s">
        <v>382</v>
      </c>
      <c r="B530" t="str">
        <f>"10673342253427118953"</f>
        <v>10673342253427118953</v>
      </c>
      <c r="C530" t="s">
        <v>382</v>
      </c>
      <c r="D530" t="s">
        <v>383</v>
      </c>
      <c r="E530" t="s">
        <v>382</v>
      </c>
      <c r="F530" t="s">
        <v>454</v>
      </c>
    </row>
    <row r="531" spans="1:6" customFormat="1" ht="15.75" hidden="1" thickBot="1">
      <c r="A531" t="s">
        <v>382</v>
      </c>
      <c r="B531" t="str">
        <f>"10673342253427140606"</f>
        <v>10673342253427140606</v>
      </c>
      <c r="C531" t="s">
        <v>382</v>
      </c>
      <c r="D531" t="s">
        <v>383</v>
      </c>
      <c r="E531" t="s">
        <v>382</v>
      </c>
      <c r="F531" t="s">
        <v>454</v>
      </c>
    </row>
    <row r="532" spans="1:6" customFormat="1" ht="15.75" hidden="1" thickBot="1">
      <c r="A532" t="s">
        <v>382</v>
      </c>
      <c r="B532" t="str">
        <f>"10673342253427163916"</f>
        <v>10673342253427163916</v>
      </c>
      <c r="C532" t="s">
        <v>382</v>
      </c>
      <c r="D532" t="s">
        <v>383</v>
      </c>
      <c r="E532" t="s">
        <v>382</v>
      </c>
      <c r="F532" t="s">
        <v>454</v>
      </c>
    </row>
    <row r="533" spans="1:6" customFormat="1" ht="15.75" hidden="1" thickBot="1">
      <c r="A533" t="s">
        <v>382</v>
      </c>
      <c r="B533" t="str">
        <f>"10673342253427226438"</f>
        <v>10673342253427226438</v>
      </c>
      <c r="C533" t="s">
        <v>382</v>
      </c>
      <c r="D533" t="s">
        <v>383</v>
      </c>
      <c r="E533" t="s">
        <v>382</v>
      </c>
      <c r="F533" t="s">
        <v>454</v>
      </c>
    </row>
    <row r="534" spans="1:6" customFormat="1" ht="15.75" hidden="1" thickBot="1">
      <c r="A534" t="s">
        <v>382</v>
      </c>
      <c r="B534" t="str">
        <f>"10673342253427890389"</f>
        <v>10673342253427890389</v>
      </c>
      <c r="C534" t="s">
        <v>382</v>
      </c>
      <c r="D534" t="s">
        <v>383</v>
      </c>
      <c r="E534" t="s">
        <v>382</v>
      </c>
      <c r="F534" t="s">
        <v>454</v>
      </c>
    </row>
    <row r="535" spans="1:6" customFormat="1" ht="15.75" hidden="1" thickBot="1">
      <c r="A535" t="s">
        <v>382</v>
      </c>
      <c r="B535" t="str">
        <f>"10673342253433366327"</f>
        <v>10673342253433366327</v>
      </c>
      <c r="C535" t="s">
        <v>382</v>
      </c>
      <c r="D535" t="s">
        <v>383</v>
      </c>
      <c r="E535" t="s">
        <v>382</v>
      </c>
      <c r="F535" t="s">
        <v>455</v>
      </c>
    </row>
    <row r="536" spans="1:6" customFormat="1" ht="15.75" hidden="1" thickBot="1">
      <c r="A536" t="s">
        <v>382</v>
      </c>
      <c r="B536" t="str">
        <f>"10673342253433636189"</f>
        <v>10673342253433636189</v>
      </c>
      <c r="C536" t="s">
        <v>382</v>
      </c>
      <c r="D536" t="s">
        <v>383</v>
      </c>
      <c r="E536" t="s">
        <v>382</v>
      </c>
      <c r="F536" t="s">
        <v>455</v>
      </c>
    </row>
    <row r="537" spans="1:6" customFormat="1" ht="15.75" hidden="1" thickBot="1">
      <c r="A537" t="s">
        <v>382</v>
      </c>
      <c r="B537" t="str">
        <f>"10673342253433844547"</f>
        <v>10673342253433844547</v>
      </c>
      <c r="C537" t="s">
        <v>382</v>
      </c>
      <c r="D537" t="s">
        <v>383</v>
      </c>
      <c r="E537" t="s">
        <v>382</v>
      </c>
      <c r="F537" t="s">
        <v>455</v>
      </c>
    </row>
    <row r="538" spans="1:6" customFormat="1" ht="15.75" hidden="1" thickBot="1">
      <c r="A538" t="s">
        <v>382</v>
      </c>
      <c r="B538" t="str">
        <f>"10673342253433984470"</f>
        <v>10673342253433984470</v>
      </c>
      <c r="C538" t="s">
        <v>382</v>
      </c>
      <c r="D538" t="s">
        <v>383</v>
      </c>
      <c r="E538" t="s">
        <v>382</v>
      </c>
      <c r="F538" t="s">
        <v>455</v>
      </c>
    </row>
    <row r="539" spans="1:6" customFormat="1" ht="15.75" hidden="1" thickBot="1">
      <c r="A539" t="s">
        <v>382</v>
      </c>
      <c r="B539" t="str">
        <f>"10673342253435618633"</f>
        <v>10673342253435618633</v>
      </c>
      <c r="C539" t="s">
        <v>382</v>
      </c>
      <c r="D539" t="s">
        <v>383</v>
      </c>
      <c r="E539" t="s">
        <v>382</v>
      </c>
      <c r="F539" t="s">
        <v>456</v>
      </c>
    </row>
    <row r="540" spans="1:6" customFormat="1" ht="15.75" hidden="1" thickBot="1">
      <c r="A540" t="s">
        <v>382</v>
      </c>
      <c r="B540" t="str">
        <f>"10673342253435666980"</f>
        <v>10673342253435666980</v>
      </c>
      <c r="C540" t="s">
        <v>382</v>
      </c>
      <c r="D540" t="s">
        <v>383</v>
      </c>
      <c r="E540" t="s">
        <v>382</v>
      </c>
      <c r="F540" t="s">
        <v>456</v>
      </c>
    </row>
    <row r="541" spans="1:6" customFormat="1" ht="15.75" hidden="1" thickBot="1">
      <c r="A541" t="s">
        <v>382</v>
      </c>
      <c r="B541" t="str">
        <f>"10673342253435965899"</f>
        <v>10673342253435965899</v>
      </c>
      <c r="C541" t="s">
        <v>382</v>
      </c>
      <c r="D541" t="s">
        <v>383</v>
      </c>
      <c r="E541" t="s">
        <v>382</v>
      </c>
      <c r="F541" t="s">
        <v>456</v>
      </c>
    </row>
    <row r="542" spans="1:6" customFormat="1" ht="15.75" hidden="1" thickBot="1">
      <c r="A542" t="s">
        <v>382</v>
      </c>
      <c r="B542" t="str">
        <f>"10673342253436137922"</f>
        <v>10673342253436137922</v>
      </c>
      <c r="C542" t="s">
        <v>382</v>
      </c>
      <c r="D542" t="s">
        <v>383</v>
      </c>
      <c r="E542" t="s">
        <v>382</v>
      </c>
      <c r="F542" t="s">
        <v>456</v>
      </c>
    </row>
    <row r="543" spans="1:6" customFormat="1" ht="15.75" hidden="1" thickBot="1">
      <c r="A543" t="s">
        <v>382</v>
      </c>
      <c r="B543" t="str">
        <f>"10673342253438619606"</f>
        <v>10673342253438619606</v>
      </c>
      <c r="C543" t="s">
        <v>382</v>
      </c>
      <c r="D543" t="s">
        <v>383</v>
      </c>
      <c r="E543" t="s">
        <v>382</v>
      </c>
      <c r="F543" t="s">
        <v>457</v>
      </c>
    </row>
    <row r="544" spans="1:6" customFormat="1" ht="15.75" hidden="1" thickBot="1">
      <c r="A544" t="s">
        <v>382</v>
      </c>
      <c r="B544" t="str">
        <f>"10673342253438628389"</f>
        <v>10673342253438628389</v>
      </c>
      <c r="C544" t="s">
        <v>382</v>
      </c>
      <c r="D544" t="s">
        <v>383</v>
      </c>
      <c r="E544" t="s">
        <v>382</v>
      </c>
      <c r="F544" t="s">
        <v>457</v>
      </c>
    </row>
    <row r="545" spans="1:6" customFormat="1" ht="15.75" hidden="1" thickBot="1">
      <c r="A545" t="s">
        <v>382</v>
      </c>
      <c r="B545" t="str">
        <f>"10673342253438644945"</f>
        <v>10673342253438644945</v>
      </c>
      <c r="C545" t="s">
        <v>382</v>
      </c>
      <c r="D545" t="s">
        <v>383</v>
      </c>
      <c r="E545" t="s">
        <v>382</v>
      </c>
      <c r="F545" t="s">
        <v>457</v>
      </c>
    </row>
    <row r="546" spans="1:6" customFormat="1" ht="15.75" hidden="1" thickBot="1">
      <c r="A546" t="s">
        <v>382</v>
      </c>
      <c r="B546" t="str">
        <f>"10673342253439264909"</f>
        <v>10673342253439264909</v>
      </c>
      <c r="C546" t="s">
        <v>382</v>
      </c>
      <c r="D546" t="s">
        <v>383</v>
      </c>
      <c r="E546" t="s">
        <v>382</v>
      </c>
      <c r="F546" t="s">
        <v>457</v>
      </c>
    </row>
    <row r="547" spans="1:6" customFormat="1" ht="15.75" hidden="1" thickBot="1">
      <c r="A547" t="s">
        <v>382</v>
      </c>
      <c r="B547" t="str">
        <f>"10673342253439274734"</f>
        <v>10673342253439274734</v>
      </c>
      <c r="C547" t="s">
        <v>382</v>
      </c>
      <c r="D547" t="s">
        <v>383</v>
      </c>
      <c r="E547" t="s">
        <v>382</v>
      </c>
      <c r="F547" t="s">
        <v>458</v>
      </c>
    </row>
    <row r="548" spans="1:6" customFormat="1" ht="15.75" hidden="1" thickBot="1">
      <c r="A548" t="s">
        <v>382</v>
      </c>
      <c r="B548" t="str">
        <f>"10673342253439681003"</f>
        <v>10673342253439681003</v>
      </c>
      <c r="C548" t="s">
        <v>382</v>
      </c>
      <c r="D548" t="s">
        <v>383</v>
      </c>
      <c r="E548" t="s">
        <v>382</v>
      </c>
      <c r="F548" t="s">
        <v>458</v>
      </c>
    </row>
    <row r="549" spans="1:6" customFormat="1" ht="15.75" hidden="1" thickBot="1">
      <c r="A549" t="s">
        <v>382</v>
      </c>
      <c r="B549" t="str">
        <f>"10673342253439757654"</f>
        <v>10673342253439757654</v>
      </c>
      <c r="C549" t="s">
        <v>382</v>
      </c>
      <c r="D549" t="s">
        <v>383</v>
      </c>
      <c r="E549" t="s">
        <v>382</v>
      </c>
      <c r="F549" t="s">
        <v>458</v>
      </c>
    </row>
    <row r="550" spans="1:6" customFormat="1" ht="15.75" hidden="1" thickBot="1">
      <c r="A550" t="s">
        <v>382</v>
      </c>
      <c r="B550" t="str">
        <f>"10673342253439764006"</f>
        <v>10673342253439764006</v>
      </c>
      <c r="C550" t="s">
        <v>382</v>
      </c>
      <c r="D550" t="s">
        <v>383</v>
      </c>
      <c r="E550" t="s">
        <v>382</v>
      </c>
      <c r="F550" t="s">
        <v>458</v>
      </c>
    </row>
    <row r="551" spans="1:6" customFormat="1" ht="15.75" hidden="1" thickBot="1">
      <c r="A551" t="s">
        <v>382</v>
      </c>
      <c r="B551" t="str">
        <f>"10673342253439785038"</f>
        <v>10673342253439785038</v>
      </c>
      <c r="C551" t="s">
        <v>382</v>
      </c>
      <c r="D551" t="s">
        <v>383</v>
      </c>
      <c r="E551" t="s">
        <v>382</v>
      </c>
      <c r="F551" t="s">
        <v>459</v>
      </c>
    </row>
    <row r="552" spans="1:6" customFormat="1" ht="15.75" hidden="1" thickBot="1">
      <c r="A552" t="s">
        <v>382</v>
      </c>
      <c r="B552" t="str">
        <f>"10673342253439860552"</f>
        <v>10673342253439860552</v>
      </c>
      <c r="C552" t="s">
        <v>382</v>
      </c>
      <c r="D552" t="s">
        <v>383</v>
      </c>
      <c r="E552" t="s">
        <v>382</v>
      </c>
      <c r="F552" t="s">
        <v>459</v>
      </c>
    </row>
    <row r="553" spans="1:6" customFormat="1" ht="15.75" hidden="1" thickBot="1">
      <c r="A553" t="s">
        <v>382</v>
      </c>
      <c r="B553" t="str">
        <f>"10673342253439941137"</f>
        <v>10673342253439941137</v>
      </c>
      <c r="C553" t="s">
        <v>382</v>
      </c>
      <c r="D553" t="s">
        <v>383</v>
      </c>
      <c r="E553" t="s">
        <v>382</v>
      </c>
      <c r="F553" t="s">
        <v>459</v>
      </c>
    </row>
    <row r="554" spans="1:6" customFormat="1" ht="15.75" hidden="1" thickBot="1">
      <c r="A554" t="s">
        <v>382</v>
      </c>
      <c r="B554" t="str">
        <f>"10673342253440204582"</f>
        <v>10673342253440204582</v>
      </c>
      <c r="C554" t="s">
        <v>382</v>
      </c>
      <c r="D554" t="s">
        <v>383</v>
      </c>
      <c r="E554" t="s">
        <v>382</v>
      </c>
      <c r="F554" t="s">
        <v>459</v>
      </c>
    </row>
    <row r="555" spans="1:6" customFormat="1" ht="15.75" hidden="1" thickBot="1">
      <c r="A555" t="s">
        <v>382</v>
      </c>
      <c r="B555" t="str">
        <f>"10673342253441611602"</f>
        <v>10673342253441611602</v>
      </c>
      <c r="C555" t="s">
        <v>382</v>
      </c>
      <c r="D555" t="s">
        <v>383</v>
      </c>
      <c r="E555" t="s">
        <v>382</v>
      </c>
      <c r="F555" t="s">
        <v>460</v>
      </c>
    </row>
    <row r="556" spans="1:6" customFormat="1" ht="15.75" hidden="1" thickBot="1">
      <c r="A556" t="s">
        <v>382</v>
      </c>
      <c r="B556" t="str">
        <f>"10673342253441731527"</f>
        <v>10673342253441731527</v>
      </c>
      <c r="C556" t="s">
        <v>382</v>
      </c>
      <c r="D556" t="s">
        <v>383</v>
      </c>
      <c r="E556" t="s">
        <v>382</v>
      </c>
      <c r="F556" t="s">
        <v>460</v>
      </c>
    </row>
    <row r="557" spans="1:6" customFormat="1" ht="15.75" hidden="1" thickBot="1">
      <c r="A557" t="s">
        <v>382</v>
      </c>
      <c r="B557" t="str">
        <f>"10673342253441733287"</f>
        <v>10673342253441733287</v>
      </c>
      <c r="C557" t="s">
        <v>382</v>
      </c>
      <c r="D557" t="s">
        <v>383</v>
      </c>
      <c r="E557" t="s">
        <v>382</v>
      </c>
      <c r="F557" t="s">
        <v>460</v>
      </c>
    </row>
    <row r="558" spans="1:6" customFormat="1" ht="15.75" hidden="1" thickBot="1">
      <c r="A558" t="s">
        <v>382</v>
      </c>
      <c r="B558" t="str">
        <f>"10673342253441865353"</f>
        <v>10673342253441865353</v>
      </c>
      <c r="C558" t="s">
        <v>382</v>
      </c>
      <c r="D558" t="s">
        <v>383</v>
      </c>
      <c r="E558" t="s">
        <v>382</v>
      </c>
      <c r="F558" t="s">
        <v>460</v>
      </c>
    </row>
    <row r="559" spans="1:6" customFormat="1" ht="15.75" hidden="1" thickBot="1">
      <c r="A559" t="s">
        <v>382</v>
      </c>
      <c r="B559" t="str">
        <f>"10673342253440612323"</f>
        <v>10673342253440612323</v>
      </c>
      <c r="C559" t="s">
        <v>382</v>
      </c>
      <c r="D559" t="s">
        <v>383</v>
      </c>
      <c r="E559" t="s">
        <v>382</v>
      </c>
      <c r="F559" t="s">
        <v>461</v>
      </c>
    </row>
    <row r="560" spans="1:6" customFormat="1" ht="15.75" hidden="1" thickBot="1">
      <c r="A560" t="s">
        <v>382</v>
      </c>
      <c r="B560" t="str">
        <f>"10673342253440648693"</f>
        <v>10673342253440648693</v>
      </c>
      <c r="C560" t="s">
        <v>382</v>
      </c>
      <c r="D560" t="s">
        <v>383</v>
      </c>
      <c r="E560" t="s">
        <v>382</v>
      </c>
      <c r="F560" t="s">
        <v>461</v>
      </c>
    </row>
    <row r="561" spans="1:6" customFormat="1" ht="15.75" hidden="1" thickBot="1">
      <c r="A561" t="s">
        <v>382</v>
      </c>
      <c r="B561" t="str">
        <f>"10673342253440685726"</f>
        <v>10673342253440685726</v>
      </c>
      <c r="C561" t="s">
        <v>382</v>
      </c>
      <c r="D561" t="s">
        <v>383</v>
      </c>
      <c r="E561" t="s">
        <v>382</v>
      </c>
      <c r="F561" t="s">
        <v>461</v>
      </c>
    </row>
    <row r="562" spans="1:6" customFormat="1" ht="15.75" hidden="1" thickBot="1">
      <c r="A562" t="s">
        <v>382</v>
      </c>
      <c r="B562" t="str">
        <f>"10673342253441121079"</f>
        <v>10673342253441121079</v>
      </c>
      <c r="C562" t="s">
        <v>382</v>
      </c>
      <c r="D562" t="s">
        <v>383</v>
      </c>
      <c r="E562" t="s">
        <v>382</v>
      </c>
      <c r="F562" t="s">
        <v>461</v>
      </c>
    </row>
    <row r="563" spans="1:6" customFormat="1" ht="15.75" hidden="1" thickBot="1">
      <c r="A563" t="s">
        <v>382</v>
      </c>
      <c r="B563" t="str">
        <f>"10673342253441404585"</f>
        <v>10673342253441404585</v>
      </c>
      <c r="C563" t="s">
        <v>382</v>
      </c>
      <c r="D563" t="s">
        <v>383</v>
      </c>
      <c r="E563" t="s">
        <v>382</v>
      </c>
      <c r="F563" t="s">
        <v>462</v>
      </c>
    </row>
    <row r="564" spans="1:6" customFormat="1" ht="15.75" hidden="1" thickBot="1">
      <c r="A564" t="s">
        <v>382</v>
      </c>
      <c r="B564" t="str">
        <f>"10673342253441489459"</f>
        <v>10673342253441489459</v>
      </c>
      <c r="C564" t="s">
        <v>382</v>
      </c>
      <c r="D564" t="s">
        <v>383</v>
      </c>
      <c r="E564" t="s">
        <v>382</v>
      </c>
      <c r="F564" t="s">
        <v>462</v>
      </c>
    </row>
    <row r="565" spans="1:6" customFormat="1" ht="15.75" hidden="1" thickBot="1">
      <c r="A565" t="s">
        <v>382</v>
      </c>
      <c r="B565" t="str">
        <f>"10673342253441536686"</f>
        <v>10673342253441536686</v>
      </c>
      <c r="C565" t="s">
        <v>382</v>
      </c>
      <c r="D565" t="s">
        <v>383</v>
      </c>
      <c r="E565" t="s">
        <v>382</v>
      </c>
      <c r="F565" t="s">
        <v>462</v>
      </c>
    </row>
    <row r="566" spans="1:6" customFormat="1" ht="15.75" hidden="1" thickBot="1">
      <c r="A566" t="s">
        <v>382</v>
      </c>
      <c r="B566" t="str">
        <f>"10673342253441606919"</f>
        <v>10673342253441606919</v>
      </c>
      <c r="C566" t="s">
        <v>382</v>
      </c>
      <c r="D566" t="s">
        <v>383</v>
      </c>
      <c r="E566" t="s">
        <v>382</v>
      </c>
      <c r="F566" t="s">
        <v>462</v>
      </c>
    </row>
    <row r="567" spans="1:6" customFormat="1" ht="15.75" hidden="1" thickBot="1">
      <c r="A567" t="s">
        <v>382</v>
      </c>
      <c r="B567" t="str">
        <f>"10673342253442665347"</f>
        <v>10673342253442665347</v>
      </c>
      <c r="C567" t="s">
        <v>382</v>
      </c>
      <c r="D567" t="s">
        <v>383</v>
      </c>
      <c r="E567" t="s">
        <v>382</v>
      </c>
      <c r="F567" t="s">
        <v>463</v>
      </c>
    </row>
    <row r="568" spans="1:6" customFormat="1" ht="15.75" hidden="1" thickBot="1">
      <c r="A568" t="s">
        <v>382</v>
      </c>
      <c r="B568" t="str">
        <f>"10673342253442873219"</f>
        <v>10673342253442873219</v>
      </c>
      <c r="C568" t="s">
        <v>382</v>
      </c>
      <c r="D568" t="s">
        <v>383</v>
      </c>
      <c r="E568" t="s">
        <v>382</v>
      </c>
      <c r="F568" t="s">
        <v>463</v>
      </c>
    </row>
    <row r="569" spans="1:6" customFormat="1" ht="15.75" hidden="1" thickBot="1">
      <c r="A569" t="s">
        <v>382</v>
      </c>
      <c r="B569" t="str">
        <f>"10673342253443041188"</f>
        <v>10673342253443041188</v>
      </c>
      <c r="C569" t="s">
        <v>382</v>
      </c>
      <c r="D569" t="s">
        <v>383</v>
      </c>
      <c r="E569" t="s">
        <v>382</v>
      </c>
      <c r="F569" t="s">
        <v>463</v>
      </c>
    </row>
    <row r="570" spans="1:6" customFormat="1" ht="15.75" hidden="1" thickBot="1">
      <c r="A570" t="s">
        <v>382</v>
      </c>
      <c r="B570" t="str">
        <f>"10673342253443206918"</f>
        <v>10673342253443206918</v>
      </c>
      <c r="C570" t="s">
        <v>382</v>
      </c>
      <c r="D570" t="s">
        <v>383</v>
      </c>
      <c r="E570" t="s">
        <v>382</v>
      </c>
      <c r="F570" t="s">
        <v>463</v>
      </c>
    </row>
    <row r="571" spans="1:6" customFormat="1" ht="15.75" hidden="1" thickBot="1">
      <c r="A571" t="s">
        <v>382</v>
      </c>
      <c r="B571" t="str">
        <f>"10673342253445338412"</f>
        <v>10673342253445338412</v>
      </c>
      <c r="C571" t="s">
        <v>382</v>
      </c>
      <c r="D571" t="s">
        <v>383</v>
      </c>
      <c r="E571" t="s">
        <v>382</v>
      </c>
      <c r="F571" t="s">
        <v>464</v>
      </c>
    </row>
    <row r="572" spans="1:6" customFormat="1" ht="15.75" hidden="1" thickBot="1">
      <c r="A572" t="s">
        <v>382</v>
      </c>
      <c r="B572" t="str">
        <f>"10673342253445537113"</f>
        <v>10673342253445537113</v>
      </c>
      <c r="C572" t="s">
        <v>382</v>
      </c>
      <c r="D572" t="s">
        <v>383</v>
      </c>
      <c r="E572" t="s">
        <v>382</v>
      </c>
      <c r="F572" t="s">
        <v>464</v>
      </c>
    </row>
    <row r="573" spans="1:6" customFormat="1" ht="15.75" hidden="1" thickBot="1">
      <c r="A573" t="s">
        <v>382</v>
      </c>
      <c r="B573" t="str">
        <f>"10673342253445636359"</f>
        <v>10673342253445636359</v>
      </c>
      <c r="C573" t="s">
        <v>382</v>
      </c>
      <c r="D573" t="s">
        <v>383</v>
      </c>
      <c r="E573" t="s">
        <v>382</v>
      </c>
      <c r="F573" t="s">
        <v>464</v>
      </c>
    </row>
    <row r="574" spans="1:6" customFormat="1" ht="15.75" hidden="1" thickBot="1">
      <c r="A574" t="s">
        <v>382</v>
      </c>
      <c r="B574" t="str">
        <f>"10673342253445657747"</f>
        <v>10673342253445657747</v>
      </c>
      <c r="C574" t="s">
        <v>382</v>
      </c>
      <c r="D574" t="s">
        <v>383</v>
      </c>
      <c r="E574" t="s">
        <v>382</v>
      </c>
      <c r="F574" t="s">
        <v>464</v>
      </c>
    </row>
    <row r="575" spans="1:6" customFormat="1" ht="15.75" hidden="1" thickBot="1">
      <c r="A575" t="s">
        <v>382</v>
      </c>
      <c r="B575" t="str">
        <f>"10673342253447954269"</f>
        <v>10673342253447954269</v>
      </c>
      <c r="C575" t="s">
        <v>382</v>
      </c>
      <c r="D575" t="s">
        <v>383</v>
      </c>
      <c r="E575" t="s">
        <v>382</v>
      </c>
      <c r="F575" t="s">
        <v>465</v>
      </c>
    </row>
    <row r="576" spans="1:6" customFormat="1" ht="15.75" hidden="1" thickBot="1">
      <c r="A576" t="s">
        <v>382</v>
      </c>
      <c r="B576" t="str">
        <f>"10673342253447978362"</f>
        <v>10673342253447978362</v>
      </c>
      <c r="C576" t="s">
        <v>382</v>
      </c>
      <c r="D576" t="s">
        <v>383</v>
      </c>
      <c r="E576" t="s">
        <v>382</v>
      </c>
      <c r="F576" t="s">
        <v>465</v>
      </c>
    </row>
    <row r="577" spans="1:6" customFormat="1" ht="15.75" hidden="1" thickBot="1">
      <c r="A577" t="s">
        <v>382</v>
      </c>
      <c r="B577" t="str">
        <f>"10673342253448205162"</f>
        <v>10673342253448205162</v>
      </c>
      <c r="C577" t="s">
        <v>382</v>
      </c>
      <c r="D577" t="s">
        <v>383</v>
      </c>
      <c r="E577" t="s">
        <v>382</v>
      </c>
      <c r="F577" t="s">
        <v>465</v>
      </c>
    </row>
    <row r="578" spans="1:6" customFormat="1" ht="15.75" hidden="1" thickBot="1">
      <c r="A578" t="s">
        <v>382</v>
      </c>
      <c r="B578" t="str">
        <f>"10673342253448440209"</f>
        <v>10673342253448440209</v>
      </c>
      <c r="C578" t="s">
        <v>382</v>
      </c>
      <c r="D578" t="s">
        <v>383</v>
      </c>
      <c r="E578" t="s">
        <v>382</v>
      </c>
      <c r="F578" t="s">
        <v>465</v>
      </c>
    </row>
    <row r="579" spans="1:6" customFormat="1" ht="15.75" hidden="1" thickBot="1">
      <c r="A579" t="s">
        <v>382</v>
      </c>
      <c r="B579" t="str">
        <f>"10673342253448495136"</f>
        <v>10673342253448495136</v>
      </c>
      <c r="C579" t="s">
        <v>382</v>
      </c>
      <c r="D579" t="s">
        <v>383</v>
      </c>
      <c r="E579" t="s">
        <v>382</v>
      </c>
      <c r="F579" t="s">
        <v>466</v>
      </c>
    </row>
    <row r="580" spans="1:6" customFormat="1" ht="15.75" hidden="1" thickBot="1">
      <c r="A580" t="s">
        <v>382</v>
      </c>
      <c r="B580" t="str">
        <f>"10673342253448545869"</f>
        <v>10673342253448545869</v>
      </c>
      <c r="C580" t="s">
        <v>382</v>
      </c>
      <c r="D580" t="s">
        <v>383</v>
      </c>
      <c r="E580" t="s">
        <v>382</v>
      </c>
      <c r="F580" t="s">
        <v>466</v>
      </c>
    </row>
    <row r="581" spans="1:6" customFormat="1" ht="15.75" hidden="1" thickBot="1">
      <c r="A581" t="s">
        <v>382</v>
      </c>
      <c r="B581" t="str">
        <f>"10673342253448563387"</f>
        <v>10673342253448563387</v>
      </c>
      <c r="C581" t="s">
        <v>382</v>
      </c>
      <c r="D581" t="s">
        <v>383</v>
      </c>
      <c r="E581" t="s">
        <v>382</v>
      </c>
      <c r="F581" t="s">
        <v>466</v>
      </c>
    </row>
    <row r="582" spans="1:6" customFormat="1" ht="15.75" hidden="1" thickBot="1">
      <c r="A582" t="s">
        <v>382</v>
      </c>
      <c r="B582" t="str">
        <f>"10673342253448742354"</f>
        <v>10673342253448742354</v>
      </c>
      <c r="C582" t="s">
        <v>382</v>
      </c>
      <c r="D582" t="s">
        <v>383</v>
      </c>
      <c r="E582" t="s">
        <v>382</v>
      </c>
      <c r="F582" t="s">
        <v>466</v>
      </c>
    </row>
    <row r="583" spans="1:6" customFormat="1" ht="15.75" hidden="1" thickBot="1">
      <c r="A583" t="s">
        <v>382</v>
      </c>
      <c r="B583" t="str">
        <f>"10673342253448779371"</f>
        <v>10673342253448779371</v>
      </c>
      <c r="C583" t="s">
        <v>382</v>
      </c>
      <c r="D583" t="s">
        <v>383</v>
      </c>
      <c r="E583" t="s">
        <v>382</v>
      </c>
      <c r="F583" t="s">
        <v>467</v>
      </c>
    </row>
    <row r="584" spans="1:6" customFormat="1" ht="15.75" hidden="1" thickBot="1">
      <c r="A584" t="s">
        <v>382</v>
      </c>
      <c r="B584" t="str">
        <f>"10673342253448900575"</f>
        <v>10673342253448900575</v>
      </c>
      <c r="C584" t="s">
        <v>382</v>
      </c>
      <c r="D584" t="s">
        <v>383</v>
      </c>
      <c r="E584" t="s">
        <v>382</v>
      </c>
      <c r="F584" t="s">
        <v>467</v>
      </c>
    </row>
    <row r="585" spans="1:6" customFormat="1" ht="15.75" hidden="1" thickBot="1">
      <c r="A585" t="s">
        <v>382</v>
      </c>
      <c r="B585" t="str">
        <f>"10673342253448924550"</f>
        <v>10673342253448924550</v>
      </c>
      <c r="C585" t="s">
        <v>382</v>
      </c>
      <c r="D585" t="s">
        <v>383</v>
      </c>
      <c r="E585" t="s">
        <v>382</v>
      </c>
      <c r="F585" t="s">
        <v>467</v>
      </c>
    </row>
    <row r="586" spans="1:6" customFormat="1" ht="15.75" hidden="1" thickBot="1">
      <c r="A586" t="s">
        <v>382</v>
      </c>
      <c r="B586" t="str">
        <f>"10673342253449054893"</f>
        <v>10673342253449054893</v>
      </c>
      <c r="C586" t="s">
        <v>382</v>
      </c>
      <c r="D586" t="s">
        <v>383</v>
      </c>
      <c r="E586" t="s">
        <v>382</v>
      </c>
      <c r="F586" t="s">
        <v>467</v>
      </c>
    </row>
    <row r="587" spans="1:6" customFormat="1" ht="15.75" hidden="1" thickBot="1">
      <c r="A587" t="s">
        <v>382</v>
      </c>
      <c r="B587" t="str">
        <f>"10673342253451874665"</f>
        <v>10673342253451874665</v>
      </c>
      <c r="C587" t="s">
        <v>382</v>
      </c>
      <c r="D587" t="s">
        <v>383</v>
      </c>
      <c r="E587" t="s">
        <v>382</v>
      </c>
      <c r="F587" t="s">
        <v>468</v>
      </c>
    </row>
    <row r="588" spans="1:6" customFormat="1" ht="15.75" hidden="1" thickBot="1">
      <c r="A588" t="s">
        <v>382</v>
      </c>
      <c r="B588" t="str">
        <f>"10673342253451989225"</f>
        <v>10673342253451989225</v>
      </c>
      <c r="C588" t="s">
        <v>382</v>
      </c>
      <c r="D588" t="s">
        <v>383</v>
      </c>
      <c r="E588" t="s">
        <v>382</v>
      </c>
      <c r="F588" t="s">
        <v>468</v>
      </c>
    </row>
    <row r="589" spans="1:6" customFormat="1" ht="15.75" hidden="1" thickBot="1">
      <c r="A589" t="s">
        <v>382</v>
      </c>
      <c r="B589" t="str">
        <f>"10673342253452054629"</f>
        <v>10673342253452054629</v>
      </c>
      <c r="C589" t="s">
        <v>382</v>
      </c>
      <c r="D589" t="s">
        <v>383</v>
      </c>
      <c r="E589" t="s">
        <v>382</v>
      </c>
      <c r="F589" t="s">
        <v>468</v>
      </c>
    </row>
    <row r="590" spans="1:6" customFormat="1" ht="15.75" hidden="1" thickBot="1">
      <c r="A590" t="s">
        <v>382</v>
      </c>
      <c r="B590" t="str">
        <f>"10673342253452084595"</f>
        <v>10673342253452084595</v>
      </c>
      <c r="C590" t="s">
        <v>382</v>
      </c>
      <c r="D590" t="s">
        <v>383</v>
      </c>
      <c r="E590" t="s">
        <v>382</v>
      </c>
      <c r="F590" t="s">
        <v>468</v>
      </c>
    </row>
    <row r="591" spans="1:6" customFormat="1" ht="15.75" hidden="1" thickBot="1">
      <c r="A591" t="s">
        <v>382</v>
      </c>
      <c r="B591" t="str">
        <f>"10673342253455158786"</f>
        <v>10673342253455158786</v>
      </c>
      <c r="C591" t="s">
        <v>382</v>
      </c>
      <c r="D591" t="s">
        <v>383</v>
      </c>
      <c r="E591" t="s">
        <v>382</v>
      </c>
      <c r="F591" t="s">
        <v>469</v>
      </c>
    </row>
    <row r="592" spans="1:6" customFormat="1" ht="15.75" hidden="1" thickBot="1">
      <c r="A592" t="s">
        <v>382</v>
      </c>
      <c r="B592" t="str">
        <f>"10673342253455683678"</f>
        <v>10673342253455683678</v>
      </c>
      <c r="C592" t="s">
        <v>382</v>
      </c>
      <c r="D592" t="s">
        <v>383</v>
      </c>
      <c r="E592" t="s">
        <v>382</v>
      </c>
      <c r="F592" t="s">
        <v>469</v>
      </c>
    </row>
    <row r="593" spans="1:6" customFormat="1" ht="15.75" hidden="1" thickBot="1">
      <c r="A593" t="s">
        <v>382</v>
      </c>
      <c r="B593" t="str">
        <f>"10673342253455697806"</f>
        <v>10673342253455697806</v>
      </c>
      <c r="C593" t="s">
        <v>382</v>
      </c>
      <c r="D593" t="s">
        <v>383</v>
      </c>
      <c r="E593" t="s">
        <v>382</v>
      </c>
      <c r="F593" t="s">
        <v>469</v>
      </c>
    </row>
    <row r="594" spans="1:6" customFormat="1" ht="15.75" hidden="1" thickBot="1">
      <c r="A594" t="s">
        <v>382</v>
      </c>
      <c r="B594" t="str">
        <f>"10673342253456433489"</f>
        <v>10673342253456433489</v>
      </c>
      <c r="C594" t="s">
        <v>382</v>
      </c>
      <c r="D594" t="s">
        <v>383</v>
      </c>
      <c r="E594" t="s">
        <v>382</v>
      </c>
      <c r="F594" t="s">
        <v>469</v>
      </c>
    </row>
    <row r="595" spans="1:6" customFormat="1" ht="15.75" hidden="1" thickBot="1">
      <c r="A595" t="s">
        <v>382</v>
      </c>
      <c r="B595" t="str">
        <f>"10673342253464186142"</f>
        <v>10673342253464186142</v>
      </c>
      <c r="C595" t="s">
        <v>382</v>
      </c>
      <c r="D595" t="s">
        <v>383</v>
      </c>
      <c r="E595" t="s">
        <v>382</v>
      </c>
      <c r="F595" t="s">
        <v>470</v>
      </c>
    </row>
    <row r="596" spans="1:6" customFormat="1" ht="15.75" hidden="1" thickBot="1">
      <c r="A596" t="s">
        <v>382</v>
      </c>
      <c r="B596" t="str">
        <f>"10673342253464259255"</f>
        <v>10673342253464259255</v>
      </c>
      <c r="C596" t="s">
        <v>382</v>
      </c>
      <c r="D596" t="s">
        <v>383</v>
      </c>
      <c r="E596" t="s">
        <v>382</v>
      </c>
      <c r="F596" t="s">
        <v>470</v>
      </c>
    </row>
    <row r="597" spans="1:6" customFormat="1" ht="15.75" hidden="1" thickBot="1">
      <c r="A597" t="s">
        <v>382</v>
      </c>
      <c r="B597" t="str">
        <f>"10673342253464796498"</f>
        <v>10673342253464796498</v>
      </c>
      <c r="C597" t="s">
        <v>382</v>
      </c>
      <c r="D597" t="s">
        <v>383</v>
      </c>
      <c r="E597" t="s">
        <v>382</v>
      </c>
      <c r="F597" t="s">
        <v>470</v>
      </c>
    </row>
    <row r="598" spans="1:6" customFormat="1" ht="15.75" hidden="1" thickBot="1">
      <c r="A598" t="s">
        <v>382</v>
      </c>
      <c r="B598" t="str">
        <f>"10673342253464818688"</f>
        <v>10673342253464818688</v>
      </c>
      <c r="C598" t="s">
        <v>382</v>
      </c>
      <c r="D598" t="s">
        <v>383</v>
      </c>
      <c r="E598" t="s">
        <v>382</v>
      </c>
      <c r="F598" t="s">
        <v>470</v>
      </c>
    </row>
    <row r="599" spans="1:6" customFormat="1" ht="15.75" hidden="1" thickBot="1">
      <c r="A599" t="s">
        <v>382</v>
      </c>
      <c r="B599" t="str">
        <f>"10673342253477670344"</f>
        <v>10673342253477670344</v>
      </c>
      <c r="C599" t="s">
        <v>382</v>
      </c>
      <c r="D599" t="s">
        <v>383</v>
      </c>
      <c r="E599" t="s">
        <v>382</v>
      </c>
      <c r="F599" t="s">
        <v>471</v>
      </c>
    </row>
    <row r="600" spans="1:6" customFormat="1" ht="15.75" hidden="1" thickBot="1">
      <c r="A600" t="s">
        <v>382</v>
      </c>
      <c r="B600" t="str">
        <f>"10673342253478246568"</f>
        <v>10673342253478246568</v>
      </c>
      <c r="C600" t="s">
        <v>382</v>
      </c>
      <c r="D600" t="s">
        <v>383</v>
      </c>
      <c r="E600" t="s">
        <v>382</v>
      </c>
      <c r="F600" t="s">
        <v>471</v>
      </c>
    </row>
    <row r="601" spans="1:6" customFormat="1" ht="15.75" hidden="1" thickBot="1">
      <c r="A601" t="s">
        <v>382</v>
      </c>
      <c r="B601" t="str">
        <f>"10673342253478693785"</f>
        <v>10673342253478693785</v>
      </c>
      <c r="C601" t="s">
        <v>382</v>
      </c>
      <c r="D601" t="s">
        <v>383</v>
      </c>
      <c r="E601" t="s">
        <v>382</v>
      </c>
      <c r="F601" t="s">
        <v>471</v>
      </c>
    </row>
    <row r="602" spans="1:6" customFormat="1" ht="15.75" hidden="1" thickBot="1">
      <c r="A602" t="s">
        <v>382</v>
      </c>
      <c r="B602" t="str">
        <f>"10673342253478735070"</f>
        <v>10673342253478735070</v>
      </c>
      <c r="C602" t="s">
        <v>382</v>
      </c>
      <c r="D602" t="s">
        <v>383</v>
      </c>
      <c r="E602" t="s">
        <v>382</v>
      </c>
      <c r="F602" t="s">
        <v>471</v>
      </c>
    </row>
    <row r="603" spans="1:6" customFormat="1" ht="15.75" hidden="1" thickBot="1">
      <c r="A603" t="s">
        <v>382</v>
      </c>
      <c r="B603" t="str">
        <f>"10673342253483265015"</f>
        <v>10673342253483265015</v>
      </c>
      <c r="C603" t="s">
        <v>382</v>
      </c>
      <c r="D603" t="s">
        <v>383</v>
      </c>
      <c r="E603" t="s">
        <v>382</v>
      </c>
      <c r="F603" t="s">
        <v>472</v>
      </c>
    </row>
    <row r="604" spans="1:6" customFormat="1" ht="15.75" hidden="1" thickBot="1">
      <c r="A604" t="s">
        <v>382</v>
      </c>
      <c r="B604" t="str">
        <f>"10673342253483265079"</f>
        <v>10673342253483265079</v>
      </c>
      <c r="C604" t="s">
        <v>382</v>
      </c>
      <c r="D604" t="s">
        <v>383</v>
      </c>
      <c r="E604" t="s">
        <v>382</v>
      </c>
      <c r="F604" t="s">
        <v>472</v>
      </c>
    </row>
    <row r="605" spans="1:6" customFormat="1" ht="15.75" hidden="1" thickBot="1">
      <c r="A605" t="s">
        <v>382</v>
      </c>
      <c r="B605" t="str">
        <f>"10673342253483482975"</f>
        <v>10673342253483482975</v>
      </c>
      <c r="C605" t="s">
        <v>382</v>
      </c>
      <c r="D605" t="s">
        <v>383</v>
      </c>
      <c r="E605" t="s">
        <v>382</v>
      </c>
      <c r="F605" t="s">
        <v>472</v>
      </c>
    </row>
    <row r="606" spans="1:6" customFormat="1" ht="15.75" hidden="1" thickBot="1">
      <c r="A606" t="s">
        <v>382</v>
      </c>
      <c r="B606" t="str">
        <f>"10673342253483574187"</f>
        <v>10673342253483574187</v>
      </c>
      <c r="C606" t="s">
        <v>382</v>
      </c>
      <c r="D606" t="s">
        <v>383</v>
      </c>
      <c r="E606" t="s">
        <v>382</v>
      </c>
      <c r="F606" t="s">
        <v>472</v>
      </c>
    </row>
    <row r="607" spans="1:6" customFormat="1" ht="15.75" hidden="1" thickBot="1">
      <c r="A607" t="s">
        <v>382</v>
      </c>
      <c r="B607" t="str">
        <f>"10673342253491536345"</f>
        <v>10673342253491536345</v>
      </c>
      <c r="C607" t="s">
        <v>382</v>
      </c>
      <c r="D607" t="s">
        <v>383</v>
      </c>
      <c r="E607" t="s">
        <v>382</v>
      </c>
      <c r="F607" t="s">
        <v>473</v>
      </c>
    </row>
    <row r="608" spans="1:6" customFormat="1" ht="15.75" hidden="1" thickBot="1">
      <c r="A608" t="s">
        <v>382</v>
      </c>
      <c r="B608" t="str">
        <f>"10673342253491898948"</f>
        <v>10673342253491898948</v>
      </c>
      <c r="C608" t="s">
        <v>382</v>
      </c>
      <c r="D608" t="s">
        <v>383</v>
      </c>
      <c r="E608" t="s">
        <v>382</v>
      </c>
      <c r="F608" t="s">
        <v>473</v>
      </c>
    </row>
    <row r="609" spans="1:6" customFormat="1" ht="15.75" hidden="1" thickBot="1">
      <c r="A609" t="s">
        <v>382</v>
      </c>
      <c r="B609" t="str">
        <f>"10673342253491915079"</f>
        <v>10673342253491915079</v>
      </c>
      <c r="C609" t="s">
        <v>382</v>
      </c>
      <c r="D609" t="s">
        <v>383</v>
      </c>
      <c r="E609" t="s">
        <v>382</v>
      </c>
      <c r="F609" t="s">
        <v>473</v>
      </c>
    </row>
    <row r="610" spans="1:6" customFormat="1" ht="15.75" hidden="1" thickBot="1">
      <c r="A610" t="s">
        <v>382</v>
      </c>
      <c r="B610" t="str">
        <f>"10673342253492359048"</f>
        <v>10673342253492359048</v>
      </c>
      <c r="C610" t="s">
        <v>382</v>
      </c>
      <c r="D610" t="s">
        <v>383</v>
      </c>
      <c r="E610" t="s">
        <v>382</v>
      </c>
      <c r="F610" t="s">
        <v>473</v>
      </c>
    </row>
    <row r="611" spans="1:6" customFormat="1" ht="15.75" hidden="1" thickBot="1">
      <c r="A611" t="s">
        <v>382</v>
      </c>
      <c r="B611" t="str">
        <f>"10673342253402733573"</f>
        <v>10673342253402733573</v>
      </c>
      <c r="C611" t="s">
        <v>382</v>
      </c>
      <c r="D611" t="s">
        <v>383</v>
      </c>
      <c r="E611" t="s">
        <v>382</v>
      </c>
      <c r="F611" t="s">
        <v>474</v>
      </c>
    </row>
    <row r="612" spans="1:6" customFormat="1" ht="15.75" hidden="1" thickBot="1">
      <c r="A612" t="s">
        <v>382</v>
      </c>
      <c r="B612" t="str">
        <f>"10673342253403053126"</f>
        <v>10673342253403053126</v>
      </c>
      <c r="C612" t="s">
        <v>382</v>
      </c>
      <c r="D612" t="s">
        <v>383</v>
      </c>
      <c r="E612" t="s">
        <v>382</v>
      </c>
      <c r="F612" t="s">
        <v>474</v>
      </c>
    </row>
    <row r="613" spans="1:6" customFormat="1" ht="15.75" hidden="1" thickBot="1">
      <c r="A613" t="s">
        <v>382</v>
      </c>
      <c r="B613" t="str">
        <f>"10673342253403423144"</f>
        <v>10673342253403423144</v>
      </c>
      <c r="C613" t="s">
        <v>382</v>
      </c>
      <c r="D613" t="s">
        <v>383</v>
      </c>
      <c r="E613" t="s">
        <v>382</v>
      </c>
      <c r="F613" t="s">
        <v>474</v>
      </c>
    </row>
    <row r="614" spans="1:6" customFormat="1" ht="15.75" hidden="1" thickBot="1">
      <c r="A614" t="s">
        <v>382</v>
      </c>
      <c r="B614" t="str">
        <f>"10673342253403503970"</f>
        <v>10673342253403503970</v>
      </c>
      <c r="C614" t="s">
        <v>382</v>
      </c>
      <c r="D614" t="s">
        <v>383</v>
      </c>
      <c r="E614" t="s">
        <v>382</v>
      </c>
      <c r="F614" t="s">
        <v>474</v>
      </c>
    </row>
    <row r="615" spans="1:6" customFormat="1" ht="15.75" hidden="1" thickBot="1">
      <c r="A615" t="s">
        <v>382</v>
      </c>
      <c r="B615" t="str">
        <f>"10673342253408022865"</f>
        <v>10673342253408022865</v>
      </c>
      <c r="C615" t="s">
        <v>382</v>
      </c>
      <c r="D615" t="s">
        <v>383</v>
      </c>
      <c r="E615" t="s">
        <v>382</v>
      </c>
      <c r="F615" t="s">
        <v>475</v>
      </c>
    </row>
    <row r="616" spans="1:6" customFormat="1" ht="15.75" hidden="1" thickBot="1">
      <c r="A616" t="s">
        <v>382</v>
      </c>
      <c r="B616" t="str">
        <f>"10673342253408411624"</f>
        <v>10673342253408411624</v>
      </c>
      <c r="C616" t="s">
        <v>382</v>
      </c>
      <c r="D616" t="s">
        <v>383</v>
      </c>
      <c r="E616" t="s">
        <v>382</v>
      </c>
      <c r="F616" t="s">
        <v>475</v>
      </c>
    </row>
    <row r="617" spans="1:6" customFormat="1" ht="15.75" hidden="1" thickBot="1">
      <c r="A617" t="s">
        <v>382</v>
      </c>
      <c r="B617" t="str">
        <f>"10673342253408603043"</f>
        <v>10673342253408603043</v>
      </c>
      <c r="C617" t="s">
        <v>382</v>
      </c>
      <c r="D617" t="s">
        <v>383</v>
      </c>
      <c r="E617" t="s">
        <v>382</v>
      </c>
      <c r="F617" t="s">
        <v>475</v>
      </c>
    </row>
    <row r="618" spans="1:6" customFormat="1" ht="15.75" hidden="1" thickBot="1">
      <c r="A618" t="s">
        <v>382</v>
      </c>
      <c r="B618" t="str">
        <f>"10673342253409309386"</f>
        <v>10673342253409309386</v>
      </c>
      <c r="C618" t="s">
        <v>382</v>
      </c>
      <c r="D618" t="s">
        <v>383</v>
      </c>
      <c r="E618" t="s">
        <v>382</v>
      </c>
      <c r="F618" t="s">
        <v>475</v>
      </c>
    </row>
    <row r="619" spans="1:6" customFormat="1" ht="15.75" hidden="1" thickBot="1">
      <c r="A619" t="s">
        <v>382</v>
      </c>
      <c r="B619" t="str">
        <f>"10673342253414725228"</f>
        <v>10673342253414725228</v>
      </c>
      <c r="C619" t="s">
        <v>382</v>
      </c>
      <c r="D619" t="s">
        <v>383</v>
      </c>
      <c r="E619" t="s">
        <v>382</v>
      </c>
      <c r="F619" t="s">
        <v>476</v>
      </c>
    </row>
    <row r="620" spans="1:6" customFormat="1" ht="15.75" hidden="1" thickBot="1">
      <c r="A620" t="s">
        <v>382</v>
      </c>
      <c r="B620" t="str">
        <f>"10673342253416629188"</f>
        <v>10673342253416629188</v>
      </c>
      <c r="C620" t="s">
        <v>382</v>
      </c>
      <c r="D620" t="s">
        <v>383</v>
      </c>
      <c r="E620" t="s">
        <v>382</v>
      </c>
      <c r="F620" t="s">
        <v>476</v>
      </c>
    </row>
    <row r="621" spans="1:6" customFormat="1" ht="15.75" hidden="1" thickBot="1">
      <c r="A621" t="s">
        <v>382</v>
      </c>
      <c r="B621" t="str">
        <f>"10673342253476635265"</f>
        <v>10673342253476635265</v>
      </c>
      <c r="C621" t="s">
        <v>382</v>
      </c>
      <c r="D621" t="s">
        <v>383</v>
      </c>
      <c r="E621" t="s">
        <v>382</v>
      </c>
      <c r="F621" t="s">
        <v>476</v>
      </c>
    </row>
    <row r="622" spans="1:6" customFormat="1" ht="15.75" hidden="1" thickBot="1">
      <c r="A622" t="s">
        <v>382</v>
      </c>
      <c r="B622" t="str">
        <f>"10673342253499578039"</f>
        <v>10673342253499578039</v>
      </c>
      <c r="C622" t="s">
        <v>382</v>
      </c>
      <c r="D622" t="s">
        <v>383</v>
      </c>
      <c r="E622" t="s">
        <v>382</v>
      </c>
      <c r="F622" t="s">
        <v>476</v>
      </c>
    </row>
    <row r="623" spans="1:6" customFormat="1" ht="15.75" hidden="1" thickBot="1">
      <c r="A623" t="s">
        <v>382</v>
      </c>
      <c r="B623" t="str">
        <f>"10673342253415669542"</f>
        <v>10673342253415669542</v>
      </c>
      <c r="C623" t="s">
        <v>382</v>
      </c>
      <c r="D623" t="s">
        <v>383</v>
      </c>
      <c r="E623" t="s">
        <v>382</v>
      </c>
      <c r="F623" t="s">
        <v>477</v>
      </c>
    </row>
    <row r="624" spans="1:6" customFormat="1" ht="15.75" hidden="1" thickBot="1">
      <c r="A624" t="s">
        <v>382</v>
      </c>
      <c r="B624" t="str">
        <f>"10673342253415683436"</f>
        <v>10673342253415683436</v>
      </c>
      <c r="C624" t="s">
        <v>382</v>
      </c>
      <c r="D624" t="s">
        <v>383</v>
      </c>
      <c r="E624" t="s">
        <v>382</v>
      </c>
      <c r="F624" t="s">
        <v>477</v>
      </c>
    </row>
    <row r="625" spans="1:6" customFormat="1" ht="15.75" hidden="1" thickBot="1">
      <c r="A625" t="s">
        <v>382</v>
      </c>
      <c r="B625" t="str">
        <f>"10673342253415911513"</f>
        <v>10673342253415911513</v>
      </c>
      <c r="C625" t="s">
        <v>382</v>
      </c>
      <c r="D625" t="s">
        <v>383</v>
      </c>
      <c r="E625" t="s">
        <v>382</v>
      </c>
      <c r="F625" t="s">
        <v>477</v>
      </c>
    </row>
    <row r="626" spans="1:6" customFormat="1" ht="15.75" hidden="1" thickBot="1">
      <c r="A626" t="s">
        <v>382</v>
      </c>
      <c r="B626" t="str">
        <f>"10673342253416188424"</f>
        <v>10673342253416188424</v>
      </c>
      <c r="C626" t="s">
        <v>382</v>
      </c>
      <c r="D626" t="s">
        <v>383</v>
      </c>
      <c r="E626" t="s">
        <v>382</v>
      </c>
      <c r="F626" t="s">
        <v>477</v>
      </c>
    </row>
    <row r="627" spans="1:6" customFormat="1" ht="15.75" hidden="1" thickBot="1">
      <c r="A627" t="s">
        <v>382</v>
      </c>
      <c r="B627" t="str">
        <f>"10673342253421633090"</f>
        <v>10673342253421633090</v>
      </c>
      <c r="C627" t="s">
        <v>382</v>
      </c>
      <c r="D627" t="s">
        <v>383</v>
      </c>
      <c r="E627" t="s">
        <v>382</v>
      </c>
      <c r="F627" t="s">
        <v>478</v>
      </c>
    </row>
    <row r="628" spans="1:6" customFormat="1" ht="15.75" hidden="1" thickBot="1">
      <c r="A628" t="s">
        <v>382</v>
      </c>
      <c r="B628" t="str">
        <f>"10673342253421907700"</f>
        <v>10673342253421907700</v>
      </c>
      <c r="C628" t="s">
        <v>382</v>
      </c>
      <c r="D628" t="s">
        <v>383</v>
      </c>
      <c r="E628" t="s">
        <v>382</v>
      </c>
      <c r="F628" t="s">
        <v>478</v>
      </c>
    </row>
    <row r="629" spans="1:6" customFormat="1" ht="15.75" hidden="1" thickBot="1">
      <c r="A629" t="s">
        <v>382</v>
      </c>
      <c r="B629" t="str">
        <f>"10673342253421980807"</f>
        <v>10673342253421980807</v>
      </c>
      <c r="C629" t="s">
        <v>382</v>
      </c>
      <c r="D629" t="s">
        <v>383</v>
      </c>
      <c r="E629" t="s">
        <v>382</v>
      </c>
      <c r="F629" t="s">
        <v>478</v>
      </c>
    </row>
    <row r="630" spans="1:6" customFormat="1" ht="15.75" hidden="1" thickBot="1">
      <c r="A630" t="s">
        <v>382</v>
      </c>
      <c r="B630" t="str">
        <f>"10673342253422033607"</f>
        <v>10673342253422033607</v>
      </c>
      <c r="C630" t="s">
        <v>382</v>
      </c>
      <c r="D630" t="s">
        <v>383</v>
      </c>
      <c r="E630" t="s">
        <v>382</v>
      </c>
      <c r="F630" t="s">
        <v>478</v>
      </c>
    </row>
    <row r="631" spans="1:6" customFormat="1" ht="15.75" hidden="1" thickBot="1">
      <c r="A631" t="s">
        <v>382</v>
      </c>
      <c r="B631" t="str">
        <f>"10673342253425373891"</f>
        <v>10673342253425373891</v>
      </c>
      <c r="C631" t="s">
        <v>382</v>
      </c>
      <c r="D631" t="s">
        <v>383</v>
      </c>
      <c r="E631" t="s">
        <v>382</v>
      </c>
      <c r="F631" t="s">
        <v>479</v>
      </c>
    </row>
    <row r="632" spans="1:6" customFormat="1" ht="15.75" hidden="1" thickBot="1">
      <c r="A632" t="s">
        <v>382</v>
      </c>
      <c r="B632" t="str">
        <f>"10673342253426117619"</f>
        <v>10673342253426117619</v>
      </c>
      <c r="C632" t="s">
        <v>382</v>
      </c>
      <c r="D632" t="s">
        <v>383</v>
      </c>
      <c r="E632" t="s">
        <v>382</v>
      </c>
      <c r="F632" t="s">
        <v>479</v>
      </c>
    </row>
    <row r="633" spans="1:6" customFormat="1" ht="15.75" hidden="1" thickBot="1">
      <c r="A633" t="s">
        <v>382</v>
      </c>
      <c r="B633" t="str">
        <f>"10673342253426254772"</f>
        <v>10673342253426254772</v>
      </c>
      <c r="C633" t="s">
        <v>382</v>
      </c>
      <c r="D633" t="s">
        <v>383</v>
      </c>
      <c r="E633" t="s">
        <v>382</v>
      </c>
      <c r="F633" t="s">
        <v>479</v>
      </c>
    </row>
    <row r="634" spans="1:6" customFormat="1" ht="15.75" hidden="1" thickBot="1">
      <c r="A634" t="s">
        <v>382</v>
      </c>
      <c r="B634" t="str">
        <f>"10673342253426460151"</f>
        <v>10673342253426460151</v>
      </c>
      <c r="C634" t="s">
        <v>382</v>
      </c>
      <c r="D634" t="s">
        <v>383</v>
      </c>
      <c r="E634" t="s">
        <v>382</v>
      </c>
      <c r="F634" t="s">
        <v>479</v>
      </c>
    </row>
    <row r="635" spans="1:6" customFormat="1" ht="15.75" hidden="1" thickBot="1">
      <c r="A635" t="s">
        <v>382</v>
      </c>
      <c r="B635" t="str">
        <f>"10673342253430452508"</f>
        <v>10673342253430452508</v>
      </c>
      <c r="C635" t="s">
        <v>382</v>
      </c>
      <c r="D635" t="s">
        <v>383</v>
      </c>
      <c r="E635" t="s">
        <v>382</v>
      </c>
      <c r="F635" t="s">
        <v>480</v>
      </c>
    </row>
    <row r="636" spans="1:6" customFormat="1" ht="15.75" hidden="1" thickBot="1">
      <c r="A636" t="s">
        <v>382</v>
      </c>
      <c r="B636" t="str">
        <f>"10673342253430737391"</f>
        <v>10673342253430737391</v>
      </c>
      <c r="C636" t="s">
        <v>382</v>
      </c>
      <c r="D636" t="s">
        <v>383</v>
      </c>
      <c r="E636" t="s">
        <v>382</v>
      </c>
      <c r="F636" t="s">
        <v>480</v>
      </c>
    </row>
    <row r="637" spans="1:6" customFormat="1" ht="15.75" hidden="1" thickBot="1">
      <c r="A637" t="s">
        <v>382</v>
      </c>
      <c r="B637" t="str">
        <f>"10673342253430972343"</f>
        <v>10673342253430972343</v>
      </c>
      <c r="C637" t="s">
        <v>382</v>
      </c>
      <c r="D637" t="s">
        <v>383</v>
      </c>
      <c r="E637" t="s">
        <v>382</v>
      </c>
      <c r="F637" t="s">
        <v>480</v>
      </c>
    </row>
    <row r="638" spans="1:6" customFormat="1" ht="15.75" hidden="1" thickBot="1">
      <c r="A638" t="s">
        <v>382</v>
      </c>
      <c r="B638" t="str">
        <f>"10673342253431347368"</f>
        <v>10673342253431347368</v>
      </c>
      <c r="C638" t="s">
        <v>382</v>
      </c>
      <c r="D638" t="s">
        <v>383</v>
      </c>
      <c r="E638" t="s">
        <v>382</v>
      </c>
      <c r="F638" t="s">
        <v>480</v>
      </c>
    </row>
    <row r="639" spans="1:6" customFormat="1" ht="15.75" hidden="1" thickBot="1">
      <c r="A639" t="s">
        <v>382</v>
      </c>
      <c r="B639" t="str">
        <f>"10673342253431632771"</f>
        <v>10673342253431632771</v>
      </c>
      <c r="C639" t="s">
        <v>382</v>
      </c>
      <c r="D639" t="s">
        <v>383</v>
      </c>
      <c r="E639" t="s">
        <v>382</v>
      </c>
      <c r="F639" t="s">
        <v>481</v>
      </c>
    </row>
    <row r="640" spans="1:6" customFormat="1" ht="15.75" hidden="1" thickBot="1">
      <c r="A640" t="s">
        <v>382</v>
      </c>
      <c r="B640" t="str">
        <f>"10673342253432100676"</f>
        <v>10673342253432100676</v>
      </c>
      <c r="C640" t="s">
        <v>382</v>
      </c>
      <c r="D640" t="s">
        <v>383</v>
      </c>
      <c r="E640" t="s">
        <v>382</v>
      </c>
      <c r="F640" t="s">
        <v>481</v>
      </c>
    </row>
    <row r="641" spans="1:6" customFormat="1" ht="15.75" hidden="1" thickBot="1">
      <c r="A641" t="s">
        <v>382</v>
      </c>
      <c r="B641" t="str">
        <f>"10673342253432327263"</f>
        <v>10673342253432327263</v>
      </c>
      <c r="C641" t="s">
        <v>382</v>
      </c>
      <c r="D641" t="s">
        <v>383</v>
      </c>
      <c r="E641" t="s">
        <v>382</v>
      </c>
      <c r="F641" t="s">
        <v>481</v>
      </c>
    </row>
    <row r="642" spans="1:6" customFormat="1" ht="15.75" hidden="1" thickBot="1">
      <c r="A642" t="s">
        <v>382</v>
      </c>
      <c r="B642" t="str">
        <f>"10673342253432554456"</f>
        <v>10673342253432554456</v>
      </c>
      <c r="C642" t="s">
        <v>382</v>
      </c>
      <c r="D642" t="s">
        <v>383</v>
      </c>
      <c r="E642" t="s">
        <v>382</v>
      </c>
      <c r="F642" t="s">
        <v>481</v>
      </c>
    </row>
    <row r="643" spans="1:6" customFormat="1" ht="15.75" hidden="1" thickBot="1">
      <c r="A643" t="s">
        <v>382</v>
      </c>
      <c r="B643" t="str">
        <f>"10677462254015604068"</f>
        <v>10677462254015604068</v>
      </c>
      <c r="C643" t="s">
        <v>382</v>
      </c>
      <c r="D643" t="s">
        <v>383</v>
      </c>
      <c r="E643" t="s">
        <v>382</v>
      </c>
      <c r="F643" t="s">
        <v>482</v>
      </c>
    </row>
    <row r="644" spans="1:6" customFormat="1" ht="15.75" hidden="1" thickBot="1">
      <c r="A644" t="s">
        <v>382</v>
      </c>
      <c r="B644" t="str">
        <f>"10677462254016198675"</f>
        <v>10677462254016198675</v>
      </c>
      <c r="C644" t="s">
        <v>382</v>
      </c>
      <c r="D644" t="s">
        <v>383</v>
      </c>
      <c r="E644" t="s">
        <v>382</v>
      </c>
      <c r="F644" t="s">
        <v>482</v>
      </c>
    </row>
    <row r="645" spans="1:6" customFormat="1" ht="15.75" hidden="1" thickBot="1">
      <c r="A645" t="s">
        <v>382</v>
      </c>
      <c r="B645" t="str">
        <f>"10677462254016285578"</f>
        <v>10677462254016285578</v>
      </c>
      <c r="C645" t="s">
        <v>382</v>
      </c>
      <c r="D645" t="s">
        <v>383</v>
      </c>
      <c r="E645" t="s">
        <v>382</v>
      </c>
      <c r="F645" t="s">
        <v>482</v>
      </c>
    </row>
    <row r="646" spans="1:6" customFormat="1" ht="15.75" hidden="1" thickBot="1">
      <c r="A646" t="s">
        <v>382</v>
      </c>
      <c r="B646" t="str">
        <f>"10677462254016416559"</f>
        <v>10677462254016416559</v>
      </c>
      <c r="C646" t="s">
        <v>382</v>
      </c>
      <c r="D646" t="s">
        <v>383</v>
      </c>
      <c r="E646" t="s">
        <v>382</v>
      </c>
      <c r="F646" t="s">
        <v>482</v>
      </c>
    </row>
    <row r="647" spans="1:6" customFormat="1" ht="15.75" hidden="1" thickBot="1">
      <c r="A647" t="s">
        <v>382</v>
      </c>
      <c r="B647" t="str">
        <f>"10673342253429671153"</f>
        <v>10673342253429671153</v>
      </c>
      <c r="C647" t="s">
        <v>382</v>
      </c>
      <c r="D647" t="s">
        <v>383</v>
      </c>
      <c r="E647" t="s">
        <v>382</v>
      </c>
      <c r="F647" t="s">
        <v>483</v>
      </c>
    </row>
    <row r="648" spans="1:6" customFormat="1" ht="15.75" hidden="1" thickBot="1">
      <c r="A648" t="s">
        <v>382</v>
      </c>
      <c r="B648" t="str">
        <f>"10673342253429741070"</f>
        <v>10673342253429741070</v>
      </c>
      <c r="C648" t="s">
        <v>382</v>
      </c>
      <c r="D648" t="s">
        <v>383</v>
      </c>
      <c r="E648" t="s">
        <v>382</v>
      </c>
      <c r="F648" t="s">
        <v>483</v>
      </c>
    </row>
    <row r="649" spans="1:6" customFormat="1" ht="15.75" hidden="1" thickBot="1">
      <c r="A649" t="s">
        <v>382</v>
      </c>
      <c r="B649" t="str">
        <f>"10673342253429750541"</f>
        <v>10673342253429750541</v>
      </c>
      <c r="C649" t="s">
        <v>382</v>
      </c>
      <c r="D649" t="s">
        <v>383</v>
      </c>
      <c r="E649" t="s">
        <v>382</v>
      </c>
      <c r="F649" t="s">
        <v>483</v>
      </c>
    </row>
    <row r="650" spans="1:6" customFormat="1" ht="15.75" hidden="1" thickBot="1">
      <c r="A650" t="s">
        <v>382</v>
      </c>
      <c r="B650" t="str">
        <f>"10673342253429917705"</f>
        <v>10673342253429917705</v>
      </c>
      <c r="C650" t="s">
        <v>382</v>
      </c>
      <c r="D650" t="s">
        <v>383</v>
      </c>
      <c r="E650" t="s">
        <v>382</v>
      </c>
      <c r="F650" t="s">
        <v>483</v>
      </c>
    </row>
    <row r="651" spans="1:6" customFormat="1" ht="15.75" hidden="1" thickBot="1">
      <c r="A651" t="s">
        <v>382</v>
      </c>
      <c r="B651" t="str">
        <f>"10673342253465123268"</f>
        <v>10673342253465123268</v>
      </c>
      <c r="C651" t="s">
        <v>382</v>
      </c>
      <c r="D651" t="s">
        <v>383</v>
      </c>
      <c r="E651" t="s">
        <v>382</v>
      </c>
      <c r="F651" t="s">
        <v>484</v>
      </c>
    </row>
    <row r="652" spans="1:6" customFormat="1" ht="15.75" hidden="1" thickBot="1">
      <c r="A652" t="s">
        <v>382</v>
      </c>
      <c r="B652" t="str">
        <f>"10673342253465411549"</f>
        <v>10673342253465411549</v>
      </c>
      <c r="C652" t="s">
        <v>382</v>
      </c>
      <c r="D652" t="s">
        <v>383</v>
      </c>
      <c r="E652" t="s">
        <v>382</v>
      </c>
      <c r="F652" t="s">
        <v>484</v>
      </c>
    </row>
    <row r="653" spans="1:6" customFormat="1" ht="15.75" hidden="1" thickBot="1">
      <c r="A653" t="s">
        <v>382</v>
      </c>
      <c r="B653" t="str">
        <f>"10673342253465838788"</f>
        <v>10673342253465838788</v>
      </c>
      <c r="C653" t="s">
        <v>382</v>
      </c>
      <c r="D653" t="s">
        <v>383</v>
      </c>
      <c r="E653" t="s">
        <v>382</v>
      </c>
      <c r="F653" t="s">
        <v>484</v>
      </c>
    </row>
    <row r="654" spans="1:6" customFormat="1" ht="15.75" hidden="1" thickBot="1">
      <c r="A654" t="s">
        <v>382</v>
      </c>
      <c r="B654" t="str">
        <f>"10673342253466347186"</f>
        <v>10673342253466347186</v>
      </c>
      <c r="C654" t="s">
        <v>382</v>
      </c>
      <c r="D654" t="s">
        <v>383</v>
      </c>
      <c r="E654" t="s">
        <v>382</v>
      </c>
      <c r="F654" t="s">
        <v>484</v>
      </c>
    </row>
    <row r="655" spans="1:6" customFormat="1" ht="15.75" hidden="1" thickBot="1">
      <c r="A655" t="s">
        <v>382</v>
      </c>
      <c r="B655" t="str">
        <f>"10673342253472070735"</f>
        <v>10673342253472070735</v>
      </c>
      <c r="C655" t="s">
        <v>382</v>
      </c>
      <c r="D655" t="s">
        <v>383</v>
      </c>
      <c r="E655" t="s">
        <v>382</v>
      </c>
      <c r="F655" t="s">
        <v>485</v>
      </c>
    </row>
    <row r="656" spans="1:6" customFormat="1" ht="15.75" hidden="1" thickBot="1">
      <c r="A656" t="s">
        <v>382</v>
      </c>
      <c r="B656" t="str">
        <f>"10673342253472072428"</f>
        <v>10673342253472072428</v>
      </c>
      <c r="C656" t="s">
        <v>382</v>
      </c>
      <c r="D656" t="s">
        <v>383</v>
      </c>
      <c r="E656" t="s">
        <v>382</v>
      </c>
      <c r="F656" t="s">
        <v>485</v>
      </c>
    </row>
    <row r="657" spans="1:6" customFormat="1" ht="15.75" hidden="1" thickBot="1">
      <c r="A657" t="s">
        <v>382</v>
      </c>
      <c r="B657" t="str">
        <f>"10673342253472440354"</f>
        <v>10673342253472440354</v>
      </c>
      <c r="C657" t="s">
        <v>382</v>
      </c>
      <c r="D657" t="s">
        <v>383</v>
      </c>
      <c r="E657" t="s">
        <v>382</v>
      </c>
      <c r="F657" t="s">
        <v>485</v>
      </c>
    </row>
    <row r="658" spans="1:6" customFormat="1" ht="15.75" hidden="1" thickBot="1">
      <c r="A658" t="s">
        <v>382</v>
      </c>
      <c r="B658" t="str">
        <f>"10673342253473169069"</f>
        <v>10673342253473169069</v>
      </c>
      <c r="C658" t="s">
        <v>382</v>
      </c>
      <c r="D658" t="s">
        <v>383</v>
      </c>
      <c r="E658" t="s">
        <v>382</v>
      </c>
      <c r="F658" t="s">
        <v>485</v>
      </c>
    </row>
    <row r="659" spans="1:6" customFormat="1" ht="15.75" hidden="1" thickBot="1">
      <c r="A659" t="s">
        <v>382</v>
      </c>
      <c r="B659" t="str">
        <f>"10673342253478861432"</f>
        <v>10673342253478861432</v>
      </c>
      <c r="C659" t="s">
        <v>382</v>
      </c>
      <c r="D659" t="s">
        <v>383</v>
      </c>
      <c r="E659" t="s">
        <v>382</v>
      </c>
      <c r="F659" t="s">
        <v>486</v>
      </c>
    </row>
    <row r="660" spans="1:6" customFormat="1" ht="15.75" hidden="1" thickBot="1">
      <c r="A660" t="s">
        <v>382</v>
      </c>
      <c r="B660" t="str">
        <f>"10673342253479320346"</f>
        <v>10673342253479320346</v>
      </c>
      <c r="C660" t="s">
        <v>382</v>
      </c>
      <c r="D660" t="s">
        <v>383</v>
      </c>
      <c r="E660" t="s">
        <v>382</v>
      </c>
      <c r="F660" t="s">
        <v>486</v>
      </c>
    </row>
    <row r="661" spans="1:6" customFormat="1" ht="15.75" hidden="1" thickBot="1">
      <c r="A661" t="s">
        <v>382</v>
      </c>
      <c r="B661" t="str">
        <f>"10673342253479494158"</f>
        <v>10673342253479494158</v>
      </c>
      <c r="C661" t="s">
        <v>382</v>
      </c>
      <c r="D661" t="s">
        <v>383</v>
      </c>
      <c r="E661" t="s">
        <v>382</v>
      </c>
      <c r="F661" t="s">
        <v>486</v>
      </c>
    </row>
    <row r="662" spans="1:6" customFormat="1" ht="15.75" hidden="1" thickBot="1">
      <c r="A662" t="s">
        <v>382</v>
      </c>
      <c r="B662" t="str">
        <f>"10673342253479597054"</f>
        <v>10673342253479597054</v>
      </c>
      <c r="C662" t="s">
        <v>382</v>
      </c>
      <c r="D662" t="s">
        <v>383</v>
      </c>
      <c r="E662" t="s">
        <v>382</v>
      </c>
      <c r="F662" t="s">
        <v>486</v>
      </c>
    </row>
    <row r="663" spans="1:6" customFormat="1" ht="15.75" hidden="1" thickBot="1">
      <c r="A663" t="s">
        <v>382</v>
      </c>
      <c r="B663" t="str">
        <f>"10673342253482597094"</f>
        <v>10673342253482597094</v>
      </c>
      <c r="C663" t="s">
        <v>382</v>
      </c>
      <c r="D663" t="s">
        <v>383</v>
      </c>
      <c r="E663" t="s">
        <v>382</v>
      </c>
      <c r="F663" t="s">
        <v>487</v>
      </c>
    </row>
    <row r="664" spans="1:6" customFormat="1" ht="15.75" hidden="1" thickBot="1">
      <c r="A664" t="s">
        <v>382</v>
      </c>
      <c r="B664" t="str">
        <f>"10673342253482620274"</f>
        <v>10673342253482620274</v>
      </c>
      <c r="C664" t="s">
        <v>382</v>
      </c>
      <c r="D664" t="s">
        <v>383</v>
      </c>
      <c r="E664" t="s">
        <v>382</v>
      </c>
      <c r="F664" t="s">
        <v>487</v>
      </c>
    </row>
    <row r="665" spans="1:6" customFormat="1" ht="15.75" hidden="1" thickBot="1">
      <c r="A665" t="s">
        <v>382</v>
      </c>
      <c r="B665" t="str">
        <f>"10673342253482671097"</f>
        <v>10673342253482671097</v>
      </c>
      <c r="C665" t="s">
        <v>382</v>
      </c>
      <c r="D665" t="s">
        <v>383</v>
      </c>
      <c r="E665" t="s">
        <v>382</v>
      </c>
      <c r="F665" t="s">
        <v>487</v>
      </c>
    </row>
    <row r="666" spans="1:6" customFormat="1" ht="15.75" hidden="1" thickBot="1">
      <c r="A666" t="s">
        <v>382</v>
      </c>
      <c r="B666" t="str">
        <f>"10673342253483249979"</f>
        <v>10673342253483249979</v>
      </c>
      <c r="C666" t="s">
        <v>382</v>
      </c>
      <c r="D666" t="s">
        <v>383</v>
      </c>
      <c r="E666" t="s">
        <v>382</v>
      </c>
      <c r="F666" t="s">
        <v>487</v>
      </c>
    </row>
    <row r="667" spans="1:6" customFormat="1" ht="15.75" hidden="1" thickBot="1">
      <c r="A667" t="s">
        <v>382</v>
      </c>
      <c r="B667" t="str">
        <f>"10673342253483913887"</f>
        <v>10673342253483913887</v>
      </c>
      <c r="C667" t="s">
        <v>382</v>
      </c>
      <c r="D667" t="s">
        <v>383</v>
      </c>
      <c r="E667" t="s">
        <v>382</v>
      </c>
      <c r="F667" t="s">
        <v>488</v>
      </c>
    </row>
    <row r="668" spans="1:6" customFormat="1" ht="15.75" hidden="1" thickBot="1">
      <c r="A668" t="s">
        <v>382</v>
      </c>
      <c r="B668" t="str">
        <f>"10673342253484414590"</f>
        <v>10673342253484414590</v>
      </c>
      <c r="C668" t="s">
        <v>382</v>
      </c>
      <c r="D668" t="s">
        <v>383</v>
      </c>
      <c r="E668" t="s">
        <v>382</v>
      </c>
      <c r="F668" t="s">
        <v>488</v>
      </c>
    </row>
    <row r="669" spans="1:6" customFormat="1" ht="15.75" hidden="1" thickBot="1">
      <c r="A669" t="s">
        <v>382</v>
      </c>
      <c r="B669" t="str">
        <f>"10673342253484502864"</f>
        <v>10673342253484502864</v>
      </c>
      <c r="C669" t="s">
        <v>382</v>
      </c>
      <c r="D669" t="s">
        <v>383</v>
      </c>
      <c r="E669" t="s">
        <v>382</v>
      </c>
      <c r="F669" t="s">
        <v>488</v>
      </c>
    </row>
    <row r="670" spans="1:6" customFormat="1" ht="15.75" hidden="1" thickBot="1">
      <c r="A670" t="s">
        <v>382</v>
      </c>
      <c r="B670" t="str">
        <f>"10673342253484859797"</f>
        <v>10673342253484859797</v>
      </c>
      <c r="C670" t="s">
        <v>382</v>
      </c>
      <c r="D670" t="s">
        <v>383</v>
      </c>
      <c r="E670" t="s">
        <v>382</v>
      </c>
      <c r="F670" t="s">
        <v>488</v>
      </c>
    </row>
    <row r="671" spans="1:6" customFormat="1" ht="15.75" hidden="1" thickBot="1">
      <c r="A671" t="s">
        <v>382</v>
      </c>
      <c r="B671" t="str">
        <f>"10673342253402136948"</f>
        <v>10673342253402136948</v>
      </c>
      <c r="C671" t="s">
        <v>382</v>
      </c>
      <c r="D671" t="s">
        <v>383</v>
      </c>
      <c r="E671" t="s">
        <v>382</v>
      </c>
      <c r="F671" t="s">
        <v>489</v>
      </c>
    </row>
    <row r="672" spans="1:6" customFormat="1" ht="15.75" hidden="1" thickBot="1">
      <c r="A672" t="s">
        <v>382</v>
      </c>
      <c r="B672" t="str">
        <f>"10673342253402194257"</f>
        <v>10673342253402194257</v>
      </c>
      <c r="C672" t="s">
        <v>382</v>
      </c>
      <c r="D672" t="s">
        <v>383</v>
      </c>
      <c r="E672" t="s">
        <v>382</v>
      </c>
      <c r="F672" t="s">
        <v>489</v>
      </c>
    </row>
    <row r="673" spans="1:6" customFormat="1" ht="15.75" hidden="1" thickBot="1">
      <c r="A673" t="s">
        <v>382</v>
      </c>
      <c r="B673" t="str">
        <f>"10673342253402276431"</f>
        <v>10673342253402276431</v>
      </c>
      <c r="C673" t="s">
        <v>382</v>
      </c>
      <c r="D673" t="s">
        <v>383</v>
      </c>
      <c r="E673" t="s">
        <v>382</v>
      </c>
      <c r="F673" t="s">
        <v>489</v>
      </c>
    </row>
    <row r="674" spans="1:6" customFormat="1" ht="15.75" hidden="1" thickBot="1">
      <c r="A674" t="s">
        <v>382</v>
      </c>
      <c r="B674" t="str">
        <f>"10673342253402715540"</f>
        <v>10673342253402715540</v>
      </c>
      <c r="C674" t="s">
        <v>382</v>
      </c>
      <c r="D674" t="s">
        <v>383</v>
      </c>
      <c r="E674" t="s">
        <v>382</v>
      </c>
      <c r="F674" t="s">
        <v>489</v>
      </c>
    </row>
    <row r="675" spans="1:6" customFormat="1" ht="15.75" hidden="1" thickBot="1">
      <c r="A675" t="s">
        <v>382</v>
      </c>
      <c r="B675" t="str">
        <f>"10673342253407510114"</f>
        <v>10673342253407510114</v>
      </c>
      <c r="C675" t="s">
        <v>382</v>
      </c>
      <c r="D675" t="s">
        <v>383</v>
      </c>
      <c r="E675" t="s">
        <v>382</v>
      </c>
      <c r="F675" t="s">
        <v>490</v>
      </c>
    </row>
    <row r="676" spans="1:6" customFormat="1" ht="15.75" hidden="1" thickBot="1">
      <c r="A676" t="s">
        <v>382</v>
      </c>
      <c r="B676" t="str">
        <f>"10673342253407543845"</f>
        <v>10673342253407543845</v>
      </c>
      <c r="C676" t="s">
        <v>382</v>
      </c>
      <c r="D676" t="s">
        <v>383</v>
      </c>
      <c r="E676" t="s">
        <v>382</v>
      </c>
      <c r="F676" t="s">
        <v>490</v>
      </c>
    </row>
    <row r="677" spans="1:6" customFormat="1" ht="15.75" hidden="1" thickBot="1">
      <c r="A677" t="s">
        <v>382</v>
      </c>
      <c r="B677" t="str">
        <f>"10673342253407581720"</f>
        <v>10673342253407581720</v>
      </c>
      <c r="C677" t="s">
        <v>382</v>
      </c>
      <c r="D677" t="s">
        <v>383</v>
      </c>
      <c r="E677" t="s">
        <v>382</v>
      </c>
      <c r="F677" t="s">
        <v>490</v>
      </c>
    </row>
    <row r="678" spans="1:6" customFormat="1" ht="15.75" hidden="1" thickBot="1">
      <c r="A678" t="s">
        <v>382</v>
      </c>
      <c r="B678" t="str">
        <f>"10673342253407614904"</f>
        <v>10673342253407614904</v>
      </c>
      <c r="C678" t="s">
        <v>382</v>
      </c>
      <c r="D678" t="s">
        <v>383</v>
      </c>
      <c r="E678" t="s">
        <v>382</v>
      </c>
      <c r="F678" t="s">
        <v>490</v>
      </c>
    </row>
    <row r="679" spans="1:6" customFormat="1" ht="15.75" hidden="1" thickBot="1">
      <c r="A679" t="s">
        <v>382</v>
      </c>
      <c r="B679" t="str">
        <f>"10673342253412278163"</f>
        <v>10673342253412278163</v>
      </c>
      <c r="C679" t="s">
        <v>382</v>
      </c>
      <c r="D679" t="s">
        <v>383</v>
      </c>
      <c r="E679" t="s">
        <v>382</v>
      </c>
      <c r="F679" t="s">
        <v>491</v>
      </c>
    </row>
    <row r="680" spans="1:6" customFormat="1" ht="15.75" hidden="1" thickBot="1">
      <c r="A680" t="s">
        <v>382</v>
      </c>
      <c r="B680" t="str">
        <f>"10673342253412577809"</f>
        <v>10673342253412577809</v>
      </c>
      <c r="C680" t="s">
        <v>382</v>
      </c>
      <c r="D680" t="s">
        <v>383</v>
      </c>
      <c r="E680" t="s">
        <v>382</v>
      </c>
      <c r="F680" t="s">
        <v>491</v>
      </c>
    </row>
    <row r="681" spans="1:6" customFormat="1" ht="15.75" hidden="1" thickBot="1">
      <c r="A681" t="s">
        <v>382</v>
      </c>
      <c r="B681" t="str">
        <f>"10673342253412677625"</f>
        <v>10673342253412677625</v>
      </c>
      <c r="C681" t="s">
        <v>382</v>
      </c>
      <c r="D681" t="s">
        <v>383</v>
      </c>
      <c r="E681" t="s">
        <v>382</v>
      </c>
      <c r="F681" t="s">
        <v>491</v>
      </c>
    </row>
    <row r="682" spans="1:6" customFormat="1" ht="15.75" hidden="1" thickBot="1">
      <c r="A682" t="s">
        <v>382</v>
      </c>
      <c r="B682" t="str">
        <f>"10673342253413396476"</f>
        <v>10673342253413396476</v>
      </c>
      <c r="C682" t="s">
        <v>382</v>
      </c>
      <c r="D682" t="s">
        <v>383</v>
      </c>
      <c r="E682" t="s">
        <v>382</v>
      </c>
      <c r="F682" t="s">
        <v>491</v>
      </c>
    </row>
    <row r="683" spans="1:6" customFormat="1" ht="15.75" hidden="1" thickBot="1">
      <c r="A683" t="s">
        <v>382</v>
      </c>
      <c r="B683" t="str">
        <f>"10673342253413858372"</f>
        <v>10673342253413858372</v>
      </c>
      <c r="C683" t="s">
        <v>382</v>
      </c>
      <c r="D683" t="s">
        <v>383</v>
      </c>
      <c r="E683" t="s">
        <v>382</v>
      </c>
      <c r="F683" t="s">
        <v>492</v>
      </c>
    </row>
    <row r="684" spans="1:6" customFormat="1" ht="15.75" hidden="1" thickBot="1">
      <c r="A684" t="s">
        <v>382</v>
      </c>
      <c r="B684" t="str">
        <f>"10673342253413997216"</f>
        <v>10673342253413997216</v>
      </c>
      <c r="C684" t="s">
        <v>382</v>
      </c>
      <c r="D684" t="s">
        <v>383</v>
      </c>
      <c r="E684" t="s">
        <v>382</v>
      </c>
      <c r="F684" t="s">
        <v>492</v>
      </c>
    </row>
    <row r="685" spans="1:6" customFormat="1" ht="15.75" hidden="1" thickBot="1">
      <c r="A685" t="s">
        <v>382</v>
      </c>
      <c r="B685" t="str">
        <f>"10673342253414133886"</f>
        <v>10673342253414133886</v>
      </c>
      <c r="C685" t="s">
        <v>382</v>
      </c>
      <c r="D685" t="s">
        <v>383</v>
      </c>
      <c r="E685" t="s">
        <v>382</v>
      </c>
      <c r="F685" t="s">
        <v>492</v>
      </c>
    </row>
    <row r="686" spans="1:6" customFormat="1" ht="15.75" hidden="1" thickBot="1">
      <c r="A686" t="s">
        <v>382</v>
      </c>
      <c r="B686" t="str">
        <f>"10673342253414328180"</f>
        <v>10673342253414328180</v>
      </c>
      <c r="C686" t="s">
        <v>382</v>
      </c>
      <c r="D686" t="s">
        <v>383</v>
      </c>
      <c r="E686" t="s">
        <v>382</v>
      </c>
      <c r="F686" t="s">
        <v>492</v>
      </c>
    </row>
    <row r="687" spans="1:6" customFormat="1" ht="15.75" hidden="1" thickBot="1">
      <c r="A687" t="s">
        <v>382</v>
      </c>
      <c r="B687" t="str">
        <f>"10673342253418405155"</f>
        <v>10673342253418405155</v>
      </c>
      <c r="C687" t="s">
        <v>382</v>
      </c>
      <c r="D687" t="s">
        <v>383</v>
      </c>
      <c r="E687" t="s">
        <v>382</v>
      </c>
      <c r="F687" t="s">
        <v>493</v>
      </c>
    </row>
    <row r="688" spans="1:6" customFormat="1" ht="15.75" hidden="1" thickBot="1">
      <c r="A688" t="s">
        <v>382</v>
      </c>
      <c r="B688" t="str">
        <f>"10673342253418645598"</f>
        <v>10673342253418645598</v>
      </c>
      <c r="C688" t="s">
        <v>382</v>
      </c>
      <c r="D688" t="s">
        <v>383</v>
      </c>
      <c r="E688" t="s">
        <v>382</v>
      </c>
      <c r="F688" t="s">
        <v>493</v>
      </c>
    </row>
    <row r="689" spans="1:7" customFormat="1" ht="15.75" hidden="1" thickBot="1">
      <c r="A689" t="s">
        <v>382</v>
      </c>
      <c r="B689" t="str">
        <f>"10673342253418710217"</f>
        <v>10673342253418710217</v>
      </c>
      <c r="C689" t="s">
        <v>382</v>
      </c>
      <c r="D689" t="s">
        <v>383</v>
      </c>
      <c r="E689" t="s">
        <v>382</v>
      </c>
      <c r="F689" t="s">
        <v>493</v>
      </c>
    </row>
    <row r="690" spans="1:7" customFormat="1" ht="15.75" hidden="1" thickBot="1">
      <c r="A690" t="s">
        <v>382</v>
      </c>
      <c r="B690" t="str">
        <f>"10673342253418913274"</f>
        <v>10673342253418913274</v>
      </c>
      <c r="C690" t="s">
        <v>382</v>
      </c>
      <c r="D690" t="s">
        <v>383</v>
      </c>
      <c r="E690" t="s">
        <v>382</v>
      </c>
      <c r="F690" t="s">
        <v>493</v>
      </c>
    </row>
    <row r="691" spans="1:7" customFormat="1" ht="15.75" hidden="1" thickBot="1">
      <c r="A691" t="s">
        <v>382</v>
      </c>
      <c r="B691" t="str">
        <f>"10673342253426544886"</f>
        <v>10673342253426544886</v>
      </c>
      <c r="C691" t="s">
        <v>382</v>
      </c>
      <c r="D691" t="s">
        <v>383</v>
      </c>
      <c r="E691" t="s">
        <v>382</v>
      </c>
      <c r="F691" t="s">
        <v>494</v>
      </c>
    </row>
    <row r="692" spans="1:7" customFormat="1" ht="15.75" hidden="1" thickBot="1">
      <c r="A692" t="s">
        <v>382</v>
      </c>
      <c r="B692" t="str">
        <f>"10673342253427088213"</f>
        <v>10673342253427088213</v>
      </c>
      <c r="C692" t="s">
        <v>382</v>
      </c>
      <c r="D692" t="s">
        <v>383</v>
      </c>
      <c r="E692" t="s">
        <v>382</v>
      </c>
      <c r="F692" t="s">
        <v>494</v>
      </c>
    </row>
    <row r="693" spans="1:7" customFormat="1" ht="15.75" hidden="1" thickBot="1">
      <c r="A693" t="s">
        <v>382</v>
      </c>
      <c r="B693" t="str">
        <f>"10673342253428476764"</f>
        <v>10673342253428476764</v>
      </c>
      <c r="C693" t="s">
        <v>382</v>
      </c>
      <c r="D693" t="s">
        <v>383</v>
      </c>
      <c r="E693" t="s">
        <v>382</v>
      </c>
      <c r="F693" t="s">
        <v>494</v>
      </c>
    </row>
    <row r="694" spans="1:7" customFormat="1" ht="15.75" hidden="1" thickBot="1">
      <c r="A694" t="s">
        <v>382</v>
      </c>
      <c r="B694" t="str">
        <f>"10673342253428564183"</f>
        <v>10673342253428564183</v>
      </c>
      <c r="C694" t="s">
        <v>382</v>
      </c>
      <c r="D694" t="s">
        <v>383</v>
      </c>
      <c r="E694" t="s">
        <v>382</v>
      </c>
      <c r="F694" t="s">
        <v>494</v>
      </c>
    </row>
    <row r="695" spans="1:7" s="4" customFormat="1">
      <c r="A695" s="3" t="s">
        <v>495</v>
      </c>
      <c r="B695" s="10" t="str">
        <f>"10673342233498308161"</f>
        <v>10673342233498308161</v>
      </c>
      <c r="C695" s="10" t="s">
        <v>382</v>
      </c>
      <c r="D695" s="10" t="s">
        <v>496</v>
      </c>
      <c r="E695" s="10" t="s">
        <v>495</v>
      </c>
      <c r="F695" s="10" t="s">
        <v>497</v>
      </c>
      <c r="G695" s="10"/>
    </row>
    <row r="696" spans="1:7">
      <c r="A696" s="5" t="s">
        <v>498</v>
      </c>
      <c r="B696" s="11" t="str">
        <f>"10673342233498673218"</f>
        <v>10673342233498673218</v>
      </c>
      <c r="C696" s="11" t="s">
        <v>382</v>
      </c>
      <c r="D696" s="11" t="s">
        <v>496</v>
      </c>
      <c r="E696" s="11" t="s">
        <v>498</v>
      </c>
      <c r="F696" s="11" t="s">
        <v>497</v>
      </c>
    </row>
    <row r="697" spans="1:7">
      <c r="A697" s="5" t="s">
        <v>499</v>
      </c>
      <c r="B697" s="11" t="str">
        <f>"10673342233499028049"</f>
        <v>10673342233499028049</v>
      </c>
      <c r="C697" s="11" t="s">
        <v>382</v>
      </c>
      <c r="D697" s="11" t="s">
        <v>496</v>
      </c>
      <c r="E697" s="11" t="s">
        <v>499</v>
      </c>
      <c r="F697" s="11" t="s">
        <v>497</v>
      </c>
    </row>
    <row r="698" spans="1:7">
      <c r="A698" s="5" t="s">
        <v>500</v>
      </c>
      <c r="B698" s="11" t="str">
        <f>"10673342233499247336"</f>
        <v>10673342233499247336</v>
      </c>
      <c r="C698" s="11" t="s">
        <v>382</v>
      </c>
      <c r="D698" s="11" t="s">
        <v>496</v>
      </c>
      <c r="E698" s="11" t="s">
        <v>500</v>
      </c>
      <c r="F698" s="11" t="s">
        <v>497</v>
      </c>
    </row>
    <row r="699" spans="1:7">
      <c r="A699" s="5" t="s">
        <v>501</v>
      </c>
      <c r="B699" s="11" t="str">
        <f>"10673342243443663236"</f>
        <v>10673342243443663236</v>
      </c>
      <c r="C699" s="11" t="s">
        <v>382</v>
      </c>
      <c r="D699" s="11" t="s">
        <v>496</v>
      </c>
      <c r="E699" s="11" t="s">
        <v>501</v>
      </c>
      <c r="F699" s="11" t="s">
        <v>502</v>
      </c>
    </row>
    <row r="700" spans="1:7">
      <c r="A700" s="5" t="s">
        <v>503</v>
      </c>
      <c r="B700" s="11" t="str">
        <f>"10673342243443758443"</f>
        <v>10673342243443758443</v>
      </c>
      <c r="C700" s="11" t="s">
        <v>382</v>
      </c>
      <c r="D700" s="11" t="s">
        <v>496</v>
      </c>
      <c r="E700" s="11" t="s">
        <v>503</v>
      </c>
      <c r="F700" s="11" t="s">
        <v>502</v>
      </c>
    </row>
    <row r="701" spans="1:7">
      <c r="A701" s="5" t="s">
        <v>504</v>
      </c>
      <c r="B701" s="11" t="str">
        <f>"10673342243444077551"</f>
        <v>10673342243444077551</v>
      </c>
      <c r="C701" s="11" t="s">
        <v>382</v>
      </c>
      <c r="D701" s="11" t="s">
        <v>496</v>
      </c>
      <c r="E701" s="11" t="s">
        <v>504</v>
      </c>
      <c r="F701" s="11" t="s">
        <v>502</v>
      </c>
    </row>
    <row r="702" spans="1:7">
      <c r="A702" s="5" t="s">
        <v>505</v>
      </c>
      <c r="B702" s="11" t="str">
        <f>"10673342243444106632"</f>
        <v>10673342243444106632</v>
      </c>
      <c r="C702" s="11" t="s">
        <v>382</v>
      </c>
      <c r="D702" s="11" t="s">
        <v>496</v>
      </c>
      <c r="E702" s="11" t="s">
        <v>505</v>
      </c>
      <c r="F702" s="11" t="s">
        <v>502</v>
      </c>
    </row>
    <row r="703" spans="1:7">
      <c r="A703" s="5" t="s">
        <v>506</v>
      </c>
      <c r="B703" s="11" t="str">
        <f>"10673342233499411594"</f>
        <v>10673342233499411594</v>
      </c>
      <c r="C703" s="11" t="s">
        <v>382</v>
      </c>
      <c r="D703" s="11" t="s">
        <v>496</v>
      </c>
      <c r="E703" s="11" t="s">
        <v>506</v>
      </c>
      <c r="F703" s="11" t="s">
        <v>507</v>
      </c>
    </row>
    <row r="704" spans="1:7">
      <c r="A704" s="5" t="s">
        <v>508</v>
      </c>
      <c r="B704" s="11" t="str">
        <f>"10673342243410315751"</f>
        <v>10673342243410315751</v>
      </c>
      <c r="C704" s="11" t="s">
        <v>382</v>
      </c>
      <c r="D704" s="11" t="s">
        <v>496</v>
      </c>
      <c r="E704" s="11" t="s">
        <v>508</v>
      </c>
      <c r="F704" s="11" t="s">
        <v>507</v>
      </c>
    </row>
    <row r="705" spans="1:6">
      <c r="A705" s="5" t="s">
        <v>509</v>
      </c>
      <c r="B705" s="11" t="str">
        <f>"10673342243410701219"</f>
        <v>10673342243410701219</v>
      </c>
      <c r="C705" s="11" t="s">
        <v>382</v>
      </c>
      <c r="D705" s="11" t="s">
        <v>496</v>
      </c>
      <c r="E705" s="11" t="s">
        <v>509</v>
      </c>
      <c r="F705" s="11" t="s">
        <v>507</v>
      </c>
    </row>
    <row r="706" spans="1:6">
      <c r="A706" s="5" t="s">
        <v>510</v>
      </c>
      <c r="B706" s="11" t="str">
        <f>"10673342243410704340"</f>
        <v>10673342243410704340</v>
      </c>
      <c r="C706" s="11" t="s">
        <v>382</v>
      </c>
      <c r="D706" s="11" t="s">
        <v>496</v>
      </c>
      <c r="E706" s="11" t="s">
        <v>510</v>
      </c>
      <c r="F706" s="11" t="s">
        <v>507</v>
      </c>
    </row>
    <row r="707" spans="1:6">
      <c r="A707" s="5" t="s">
        <v>511</v>
      </c>
      <c r="B707" s="11" t="str">
        <f>"10673342243430978942"</f>
        <v>10673342243430978942</v>
      </c>
      <c r="C707" s="11" t="s">
        <v>382</v>
      </c>
      <c r="D707" s="11" t="s">
        <v>496</v>
      </c>
      <c r="E707" s="11" t="s">
        <v>511</v>
      </c>
      <c r="F707" s="11" t="s">
        <v>512</v>
      </c>
    </row>
    <row r="708" spans="1:6">
      <c r="A708" s="5" t="s">
        <v>513</v>
      </c>
      <c r="B708" s="11" t="str">
        <f>"10673342243431861151"</f>
        <v>10673342243431861151</v>
      </c>
      <c r="C708" s="11" t="s">
        <v>382</v>
      </c>
      <c r="D708" s="11" t="s">
        <v>496</v>
      </c>
      <c r="E708" s="11" t="s">
        <v>513</v>
      </c>
      <c r="F708" s="11" t="s">
        <v>512</v>
      </c>
    </row>
    <row r="709" spans="1:6">
      <c r="A709" s="5" t="s">
        <v>514</v>
      </c>
      <c r="B709" s="11" t="str">
        <f>"10673342243432091295"</f>
        <v>10673342243432091295</v>
      </c>
      <c r="C709" s="11" t="s">
        <v>382</v>
      </c>
      <c r="D709" s="11" t="s">
        <v>496</v>
      </c>
      <c r="E709" s="11" t="s">
        <v>514</v>
      </c>
      <c r="F709" s="11" t="s">
        <v>512</v>
      </c>
    </row>
    <row r="710" spans="1:6">
      <c r="A710" s="5" t="s">
        <v>515</v>
      </c>
      <c r="B710" s="11" t="str">
        <f>"10673342243432191362"</f>
        <v>10673342243432191362</v>
      </c>
      <c r="C710" s="11" t="s">
        <v>382</v>
      </c>
      <c r="D710" s="11" t="s">
        <v>496</v>
      </c>
      <c r="E710" s="11" t="s">
        <v>515</v>
      </c>
      <c r="F710" s="11" t="s">
        <v>512</v>
      </c>
    </row>
    <row r="711" spans="1:6">
      <c r="A711" s="5" t="s">
        <v>516</v>
      </c>
      <c r="B711" s="11" t="str">
        <f>"10673342243440874449"</f>
        <v>10673342243440874449</v>
      </c>
      <c r="C711" s="11" t="s">
        <v>382</v>
      </c>
      <c r="D711" s="11" t="s">
        <v>496</v>
      </c>
      <c r="E711" s="11" t="s">
        <v>516</v>
      </c>
      <c r="F711" s="11" t="s">
        <v>517</v>
      </c>
    </row>
    <row r="712" spans="1:6">
      <c r="A712" s="5" t="s">
        <v>518</v>
      </c>
      <c r="B712" s="11" t="str">
        <f>"10673342243440910160"</f>
        <v>10673342243440910160</v>
      </c>
      <c r="C712" s="11" t="s">
        <v>382</v>
      </c>
      <c r="D712" s="11" t="s">
        <v>496</v>
      </c>
      <c r="E712" s="11" t="s">
        <v>518</v>
      </c>
      <c r="F712" s="11" t="s">
        <v>517</v>
      </c>
    </row>
    <row r="713" spans="1:6">
      <c r="A713" s="5" t="s">
        <v>519</v>
      </c>
      <c r="B713" s="11" t="str">
        <f>"10673342243441085103"</f>
        <v>10673342243441085103</v>
      </c>
      <c r="C713" s="11" t="s">
        <v>382</v>
      </c>
      <c r="D713" s="11" t="s">
        <v>496</v>
      </c>
      <c r="E713" s="11" t="s">
        <v>519</v>
      </c>
      <c r="F713" s="11" t="s">
        <v>517</v>
      </c>
    </row>
    <row r="714" spans="1:6">
      <c r="A714" s="5" t="s">
        <v>520</v>
      </c>
      <c r="B714" s="11" t="str">
        <f>"10673342243441133256"</f>
        <v>10673342243441133256</v>
      </c>
      <c r="C714" s="11" t="s">
        <v>382</v>
      </c>
      <c r="D714" s="11" t="s">
        <v>496</v>
      </c>
      <c r="E714" s="11" t="s">
        <v>520</v>
      </c>
      <c r="F714" s="11" t="s">
        <v>517</v>
      </c>
    </row>
    <row r="715" spans="1:6" hidden="1">
      <c r="A715" s="5" t="s">
        <v>521</v>
      </c>
      <c r="B715" s="11" t="str">
        <f>"10673342243451042857"</f>
        <v>10673342243451042857</v>
      </c>
      <c r="C715" s="11" t="s">
        <v>382</v>
      </c>
      <c r="D715" s="11" t="s">
        <v>446</v>
      </c>
      <c r="E715" s="11" t="s">
        <v>521</v>
      </c>
      <c r="F715" s="11" t="s">
        <v>522</v>
      </c>
    </row>
    <row r="716" spans="1:6" hidden="1">
      <c r="A716" s="5" t="s">
        <v>523</v>
      </c>
      <c r="B716" s="11" t="str">
        <f>"10673342243451117584"</f>
        <v>10673342243451117584</v>
      </c>
      <c r="C716" s="11" t="s">
        <v>382</v>
      </c>
      <c r="D716" s="11" t="s">
        <v>446</v>
      </c>
      <c r="E716" s="11" t="s">
        <v>523</v>
      </c>
      <c r="F716" s="11" t="s">
        <v>522</v>
      </c>
    </row>
    <row r="717" spans="1:6" hidden="1">
      <c r="A717" s="5" t="s">
        <v>524</v>
      </c>
      <c r="B717" s="11" t="str">
        <f>"10673342243451842084"</f>
        <v>10673342243451842084</v>
      </c>
      <c r="C717" s="11" t="s">
        <v>382</v>
      </c>
      <c r="D717" s="11" t="s">
        <v>446</v>
      </c>
      <c r="E717" s="11" t="s">
        <v>524</v>
      </c>
      <c r="F717" s="11" t="s">
        <v>522</v>
      </c>
    </row>
    <row r="718" spans="1:6" hidden="1">
      <c r="A718" s="5" t="s">
        <v>525</v>
      </c>
      <c r="B718" s="11" t="str">
        <f>"10673342243452278420"</f>
        <v>10673342243452278420</v>
      </c>
      <c r="C718" s="11" t="s">
        <v>382</v>
      </c>
      <c r="D718" s="11" t="s">
        <v>446</v>
      </c>
      <c r="E718" s="11" t="s">
        <v>525</v>
      </c>
      <c r="F718" s="11" t="s">
        <v>522</v>
      </c>
    </row>
    <row r="719" spans="1:6" hidden="1">
      <c r="A719" s="5" t="s">
        <v>526</v>
      </c>
      <c r="B719" s="11" t="str">
        <f>"10673342243441326224"</f>
        <v>10673342243441326224</v>
      </c>
      <c r="C719" s="11" t="s">
        <v>382</v>
      </c>
      <c r="D719" s="11" t="s">
        <v>446</v>
      </c>
      <c r="E719" s="11" t="s">
        <v>526</v>
      </c>
      <c r="F719" s="11" t="s">
        <v>527</v>
      </c>
    </row>
    <row r="720" spans="1:6" hidden="1">
      <c r="A720" s="5" t="s">
        <v>528</v>
      </c>
      <c r="B720" s="11" t="str">
        <f>"10673342243442356992"</f>
        <v>10673342243442356992</v>
      </c>
      <c r="C720" s="11" t="s">
        <v>382</v>
      </c>
      <c r="D720" s="11" t="s">
        <v>446</v>
      </c>
      <c r="E720" s="11" t="s">
        <v>528</v>
      </c>
      <c r="F720" s="11" t="s">
        <v>527</v>
      </c>
    </row>
    <row r="721" spans="1:6" hidden="1">
      <c r="A721" s="5" t="s">
        <v>529</v>
      </c>
      <c r="B721" s="11" t="str">
        <f>"10673342243443245248"</f>
        <v>10673342243443245248</v>
      </c>
      <c r="C721" s="11" t="s">
        <v>382</v>
      </c>
      <c r="D721" s="11" t="s">
        <v>446</v>
      </c>
      <c r="E721" s="11" t="s">
        <v>529</v>
      </c>
      <c r="F721" s="11" t="s">
        <v>527</v>
      </c>
    </row>
    <row r="722" spans="1:6" hidden="1">
      <c r="A722" s="5" t="s">
        <v>530</v>
      </c>
      <c r="B722" s="11" t="str">
        <f>"10673342243443434989"</f>
        <v>10673342243443434989</v>
      </c>
      <c r="C722" s="11" t="s">
        <v>382</v>
      </c>
      <c r="D722" s="11" t="s">
        <v>446</v>
      </c>
      <c r="E722" s="11" t="s">
        <v>530</v>
      </c>
      <c r="F722" s="11" t="s">
        <v>527</v>
      </c>
    </row>
    <row r="723" spans="1:6" hidden="1">
      <c r="A723" s="5" t="s">
        <v>531</v>
      </c>
      <c r="B723" s="11" t="str">
        <f>"10673342243444338304"</f>
        <v>10673342243444338304</v>
      </c>
      <c r="C723" s="11" t="s">
        <v>382</v>
      </c>
      <c r="D723" s="11" t="s">
        <v>446</v>
      </c>
      <c r="E723" s="11" t="s">
        <v>531</v>
      </c>
      <c r="F723" s="11" t="s">
        <v>532</v>
      </c>
    </row>
    <row r="724" spans="1:6" hidden="1">
      <c r="A724" s="5" t="s">
        <v>533</v>
      </c>
      <c r="B724" s="11" t="str">
        <f>"10673342243444537242"</f>
        <v>10673342243444537242</v>
      </c>
      <c r="C724" s="11" t="s">
        <v>382</v>
      </c>
      <c r="D724" s="11" t="s">
        <v>446</v>
      </c>
      <c r="E724" s="11" t="s">
        <v>533</v>
      </c>
      <c r="F724" s="11" t="s">
        <v>532</v>
      </c>
    </row>
    <row r="725" spans="1:6" hidden="1">
      <c r="A725" s="5" t="s">
        <v>534</v>
      </c>
      <c r="B725" s="11" t="str">
        <f>"10673342243444606848"</f>
        <v>10673342243444606848</v>
      </c>
      <c r="C725" s="11" t="s">
        <v>382</v>
      </c>
      <c r="D725" s="11" t="s">
        <v>446</v>
      </c>
      <c r="E725" s="11" t="s">
        <v>534</v>
      </c>
      <c r="F725" s="11" t="s">
        <v>532</v>
      </c>
    </row>
    <row r="726" spans="1:6" hidden="1">
      <c r="A726" s="5" t="s">
        <v>535</v>
      </c>
      <c r="B726" s="11" t="str">
        <f>"10673342243444615189"</f>
        <v>10673342243444615189</v>
      </c>
      <c r="C726" s="11" t="s">
        <v>382</v>
      </c>
      <c r="D726" s="11" t="s">
        <v>446</v>
      </c>
      <c r="E726" s="11" t="s">
        <v>535</v>
      </c>
      <c r="F726" s="11" t="s">
        <v>532</v>
      </c>
    </row>
    <row r="727" spans="1:6" hidden="1">
      <c r="A727" s="5" t="s">
        <v>536</v>
      </c>
      <c r="B727" s="11" t="str">
        <f>"10673342243446907330"</f>
        <v>10673342243446907330</v>
      </c>
      <c r="C727" s="11" t="s">
        <v>382</v>
      </c>
      <c r="D727" s="11" t="s">
        <v>446</v>
      </c>
      <c r="E727" s="11" t="s">
        <v>536</v>
      </c>
      <c r="F727" s="11" t="s">
        <v>537</v>
      </c>
    </row>
    <row r="728" spans="1:6" hidden="1">
      <c r="A728" s="5" t="s">
        <v>538</v>
      </c>
      <c r="B728" s="11" t="str">
        <f>"10673342243446940945"</f>
        <v>10673342243446940945</v>
      </c>
      <c r="C728" s="11" t="s">
        <v>382</v>
      </c>
      <c r="D728" s="11" t="s">
        <v>446</v>
      </c>
      <c r="E728" s="11" t="s">
        <v>538</v>
      </c>
      <c r="F728" s="11" t="s">
        <v>537</v>
      </c>
    </row>
    <row r="729" spans="1:6" hidden="1">
      <c r="A729" s="5" t="s">
        <v>539</v>
      </c>
      <c r="B729" s="11" t="str">
        <f>"10673342243447337007"</f>
        <v>10673342243447337007</v>
      </c>
      <c r="C729" s="11" t="s">
        <v>382</v>
      </c>
      <c r="D729" s="11" t="s">
        <v>446</v>
      </c>
      <c r="E729" s="11" t="s">
        <v>539</v>
      </c>
      <c r="F729" s="11" t="s">
        <v>537</v>
      </c>
    </row>
    <row r="730" spans="1:6" hidden="1">
      <c r="A730" s="5" t="s">
        <v>540</v>
      </c>
      <c r="B730" s="11" t="str">
        <f>"10673342243447512925"</f>
        <v>10673342243447512925</v>
      </c>
      <c r="C730" s="11" t="s">
        <v>382</v>
      </c>
      <c r="D730" s="11" t="s">
        <v>446</v>
      </c>
      <c r="E730" s="11" t="s">
        <v>540</v>
      </c>
      <c r="F730" s="11" t="s">
        <v>537</v>
      </c>
    </row>
    <row r="731" spans="1:6" hidden="1">
      <c r="A731" s="5" t="s">
        <v>541</v>
      </c>
      <c r="B731" s="11" t="str">
        <f>"10673342243447784500"</f>
        <v>10673342243447784500</v>
      </c>
      <c r="C731" s="11" t="s">
        <v>382</v>
      </c>
      <c r="D731" s="11" t="s">
        <v>446</v>
      </c>
      <c r="E731" s="11" t="s">
        <v>541</v>
      </c>
      <c r="F731" s="11" t="s">
        <v>542</v>
      </c>
    </row>
    <row r="732" spans="1:6" hidden="1">
      <c r="A732" s="5" t="s">
        <v>543</v>
      </c>
      <c r="B732" s="11" t="str">
        <f>"10673342243450266778"</f>
        <v>10673342243450266778</v>
      </c>
      <c r="C732" s="11" t="s">
        <v>382</v>
      </c>
      <c r="D732" s="11" t="s">
        <v>446</v>
      </c>
      <c r="E732" s="11" t="s">
        <v>543</v>
      </c>
      <c r="F732" s="11" t="s">
        <v>542</v>
      </c>
    </row>
    <row r="733" spans="1:6" hidden="1">
      <c r="A733" s="5" t="s">
        <v>544</v>
      </c>
      <c r="B733" s="11" t="str">
        <f>"10673342243450579024"</f>
        <v>10673342243450579024</v>
      </c>
      <c r="C733" s="11" t="s">
        <v>382</v>
      </c>
      <c r="D733" s="11" t="s">
        <v>446</v>
      </c>
      <c r="E733" s="11" t="s">
        <v>544</v>
      </c>
      <c r="F733" s="11" t="s">
        <v>542</v>
      </c>
    </row>
    <row r="734" spans="1:6" hidden="1">
      <c r="A734" s="5" t="s">
        <v>545</v>
      </c>
      <c r="B734" s="11" t="str">
        <f>"10673342243450849889"</f>
        <v>10673342243450849889</v>
      </c>
      <c r="C734" s="11" t="s">
        <v>382</v>
      </c>
      <c r="D734" s="11" t="s">
        <v>446</v>
      </c>
      <c r="E734" s="11" t="s">
        <v>545</v>
      </c>
      <c r="F734" s="11" t="s">
        <v>542</v>
      </c>
    </row>
    <row r="735" spans="1:6" hidden="1">
      <c r="A735" s="5" t="s">
        <v>546</v>
      </c>
      <c r="B735" s="11" t="str">
        <f>"10673342243452350199"</f>
        <v>10673342243452350199</v>
      </c>
      <c r="C735" s="11" t="s">
        <v>382</v>
      </c>
      <c r="D735" s="11" t="s">
        <v>446</v>
      </c>
      <c r="E735" s="11" t="s">
        <v>546</v>
      </c>
      <c r="F735" s="11" t="s">
        <v>547</v>
      </c>
    </row>
    <row r="736" spans="1:6" hidden="1">
      <c r="A736" s="5" t="s">
        <v>548</v>
      </c>
      <c r="B736" s="11" t="str">
        <f>"10673342243452415037"</f>
        <v>10673342243452415037</v>
      </c>
      <c r="C736" s="11" t="s">
        <v>382</v>
      </c>
      <c r="D736" s="11" t="s">
        <v>446</v>
      </c>
      <c r="E736" s="11" t="s">
        <v>548</v>
      </c>
      <c r="F736" s="11" t="s">
        <v>547</v>
      </c>
    </row>
    <row r="737" spans="1:7" hidden="1">
      <c r="A737" s="5" t="s">
        <v>549</v>
      </c>
      <c r="B737" s="11" t="str">
        <f>"10673342243452532114"</f>
        <v>10673342243452532114</v>
      </c>
      <c r="C737" s="11" t="s">
        <v>382</v>
      </c>
      <c r="D737" s="11" t="s">
        <v>446</v>
      </c>
      <c r="E737" s="11" t="s">
        <v>549</v>
      </c>
      <c r="F737" s="11" t="s">
        <v>547</v>
      </c>
    </row>
    <row r="738" spans="1:7" hidden="1">
      <c r="A738" s="5" t="s">
        <v>550</v>
      </c>
      <c r="B738" s="11" t="str">
        <f>"10673342243452791357"</f>
        <v>10673342243452791357</v>
      </c>
      <c r="C738" s="11" t="s">
        <v>382</v>
      </c>
      <c r="D738" s="11" t="s">
        <v>446</v>
      </c>
      <c r="E738" s="11" t="s">
        <v>550</v>
      </c>
      <c r="F738" s="11" t="s">
        <v>547</v>
      </c>
    </row>
    <row r="739" spans="1:7" hidden="1">
      <c r="A739" s="5" t="s">
        <v>551</v>
      </c>
      <c r="B739" s="11" t="str">
        <f>"10673342243452976799"</f>
        <v>10673342243452976799</v>
      </c>
      <c r="C739" s="11" t="s">
        <v>382</v>
      </c>
      <c r="D739" s="11" t="s">
        <v>446</v>
      </c>
      <c r="E739" s="11" t="s">
        <v>551</v>
      </c>
      <c r="F739" s="11" t="s">
        <v>552</v>
      </c>
    </row>
    <row r="740" spans="1:7" hidden="1">
      <c r="A740" s="5" t="s">
        <v>553</v>
      </c>
      <c r="B740" s="11" t="str">
        <f>"10673342243453067261"</f>
        <v>10673342243453067261</v>
      </c>
      <c r="C740" s="11" t="s">
        <v>382</v>
      </c>
      <c r="D740" s="11" t="s">
        <v>446</v>
      </c>
      <c r="E740" s="11" t="s">
        <v>553</v>
      </c>
      <c r="F740" s="11" t="s">
        <v>552</v>
      </c>
    </row>
    <row r="741" spans="1:7" hidden="1">
      <c r="A741" s="5" t="s">
        <v>554</v>
      </c>
      <c r="B741" s="11" t="str">
        <f>"10673342243453453579"</f>
        <v>10673342243453453579</v>
      </c>
      <c r="C741" s="11" t="s">
        <v>382</v>
      </c>
      <c r="D741" s="11" t="s">
        <v>446</v>
      </c>
      <c r="E741" s="11" t="s">
        <v>554</v>
      </c>
      <c r="F741" s="11" t="s">
        <v>552</v>
      </c>
    </row>
    <row r="742" spans="1:7" s="8" customFormat="1" ht="15.75" hidden="1" thickBot="1">
      <c r="A742" s="7" t="s">
        <v>555</v>
      </c>
      <c r="B742" s="12" t="str">
        <f>"10673342243454315501"</f>
        <v>10673342243454315501</v>
      </c>
      <c r="C742" s="12" t="s">
        <v>382</v>
      </c>
      <c r="D742" s="12" t="s">
        <v>446</v>
      </c>
      <c r="E742" s="12" t="s">
        <v>555</v>
      </c>
      <c r="F742" s="12" t="s">
        <v>552</v>
      </c>
      <c r="G742" s="12"/>
    </row>
    <row r="743" spans="1:7" customFormat="1" hidden="1">
      <c r="A743" t="s">
        <v>382</v>
      </c>
      <c r="B743" t="str">
        <f>"10673342243462137285"</f>
        <v>10673342243462137285</v>
      </c>
      <c r="C743" t="s">
        <v>382</v>
      </c>
      <c r="D743" t="s">
        <v>383</v>
      </c>
      <c r="E743" t="s">
        <v>382</v>
      </c>
      <c r="F743" t="s">
        <v>556</v>
      </c>
    </row>
    <row r="744" spans="1:7" customFormat="1" hidden="1">
      <c r="A744" t="s">
        <v>382</v>
      </c>
      <c r="B744" t="str">
        <f>"10673342243462182205"</f>
        <v>10673342243462182205</v>
      </c>
      <c r="C744" t="s">
        <v>382</v>
      </c>
      <c r="D744" t="s">
        <v>383</v>
      </c>
      <c r="E744" t="s">
        <v>382</v>
      </c>
      <c r="F744" t="s">
        <v>556</v>
      </c>
    </row>
    <row r="745" spans="1:7" customFormat="1" hidden="1">
      <c r="A745" t="s">
        <v>382</v>
      </c>
      <c r="B745" t="str">
        <f>"10673342243462194572"</f>
        <v>10673342243462194572</v>
      </c>
      <c r="C745" t="s">
        <v>382</v>
      </c>
      <c r="D745" t="s">
        <v>383</v>
      </c>
      <c r="E745" t="s">
        <v>382</v>
      </c>
      <c r="F745" t="s">
        <v>556</v>
      </c>
    </row>
    <row r="746" spans="1:7" customFormat="1" hidden="1">
      <c r="A746" t="s">
        <v>382</v>
      </c>
      <c r="B746" t="str">
        <f>"10673342243462222096"</f>
        <v>10673342243462222096</v>
      </c>
      <c r="C746" t="s">
        <v>382</v>
      </c>
      <c r="D746" t="s">
        <v>383</v>
      </c>
      <c r="E746" t="s">
        <v>382</v>
      </c>
      <c r="F746" t="s">
        <v>556</v>
      </c>
    </row>
    <row r="747" spans="1:7" s="4" customFormat="1" hidden="1">
      <c r="A747" s="3" t="s">
        <v>557</v>
      </c>
      <c r="B747" s="10" t="str">
        <f>"10673342243410776775"</f>
        <v>10673342243410776775</v>
      </c>
      <c r="C747" s="10" t="s">
        <v>382</v>
      </c>
      <c r="D747" s="10" t="s">
        <v>446</v>
      </c>
      <c r="E747" s="10" t="s">
        <v>557</v>
      </c>
      <c r="F747" s="10" t="s">
        <v>558</v>
      </c>
      <c r="G747" s="10"/>
    </row>
    <row r="748" spans="1:7" hidden="1">
      <c r="A748" s="5" t="s">
        <v>559</v>
      </c>
      <c r="B748" s="11" t="str">
        <f>"10673342243411071805"</f>
        <v>10673342243411071805</v>
      </c>
      <c r="C748" s="11" t="s">
        <v>382</v>
      </c>
      <c r="D748" s="11" t="s">
        <v>446</v>
      </c>
      <c r="E748" s="11" t="s">
        <v>559</v>
      </c>
      <c r="F748" s="11" t="s">
        <v>558</v>
      </c>
    </row>
    <row r="749" spans="1:7" hidden="1">
      <c r="A749" s="5" t="s">
        <v>560</v>
      </c>
      <c r="B749" s="11" t="str">
        <f>"10673342243412118015"</f>
        <v>10673342243412118015</v>
      </c>
      <c r="C749" s="11" t="s">
        <v>382</v>
      </c>
      <c r="D749" s="11" t="s">
        <v>446</v>
      </c>
      <c r="E749" s="11" t="s">
        <v>560</v>
      </c>
      <c r="F749" s="11" t="s">
        <v>558</v>
      </c>
    </row>
    <row r="750" spans="1:7" hidden="1">
      <c r="A750" s="5" t="s">
        <v>561</v>
      </c>
      <c r="B750" s="11" t="str">
        <f>"10673342243412135483"</f>
        <v>10673342243412135483</v>
      </c>
      <c r="C750" s="11" t="s">
        <v>382</v>
      </c>
      <c r="D750" s="11" t="s">
        <v>446</v>
      </c>
      <c r="E750" s="11" t="s">
        <v>561</v>
      </c>
      <c r="F750" s="11" t="s">
        <v>558</v>
      </c>
    </row>
    <row r="751" spans="1:7" hidden="1">
      <c r="A751" s="5" t="s">
        <v>562</v>
      </c>
      <c r="B751" s="11" t="str">
        <f>"10673342243412182481"</f>
        <v>10673342243412182481</v>
      </c>
      <c r="C751" s="11" t="s">
        <v>382</v>
      </c>
      <c r="D751" s="11" t="s">
        <v>446</v>
      </c>
      <c r="E751" s="11" t="s">
        <v>562</v>
      </c>
      <c r="F751" s="11" t="s">
        <v>563</v>
      </c>
    </row>
    <row r="752" spans="1:7" hidden="1">
      <c r="A752" s="5" t="s">
        <v>564</v>
      </c>
      <c r="B752" s="11" t="str">
        <f>"10673342243412559348"</f>
        <v>10673342243412559348</v>
      </c>
      <c r="C752" s="11" t="s">
        <v>382</v>
      </c>
      <c r="D752" s="11" t="s">
        <v>446</v>
      </c>
      <c r="E752" s="11" t="s">
        <v>564</v>
      </c>
      <c r="F752" s="11" t="s">
        <v>563</v>
      </c>
    </row>
    <row r="753" spans="1:6" hidden="1">
      <c r="A753" s="5" t="s">
        <v>565</v>
      </c>
      <c r="B753" s="11" t="str">
        <f>"10673342243425888469"</f>
        <v>10673342243425888469</v>
      </c>
      <c r="C753" s="11" t="s">
        <v>382</v>
      </c>
      <c r="D753" s="11" t="s">
        <v>446</v>
      </c>
      <c r="E753" s="11" t="s">
        <v>565</v>
      </c>
      <c r="F753" s="11" t="s">
        <v>563</v>
      </c>
    </row>
    <row r="754" spans="1:6" hidden="1">
      <c r="A754" s="5" t="s">
        <v>566</v>
      </c>
      <c r="B754" s="11" t="str">
        <f>"10673342243427007761"</f>
        <v>10673342243427007761</v>
      </c>
      <c r="C754" s="11" t="s">
        <v>382</v>
      </c>
      <c r="D754" s="11" t="s">
        <v>446</v>
      </c>
      <c r="E754" s="11" t="s">
        <v>566</v>
      </c>
      <c r="F754" s="11" t="s">
        <v>563</v>
      </c>
    </row>
    <row r="755" spans="1:6" hidden="1">
      <c r="A755" s="5" t="s">
        <v>567</v>
      </c>
      <c r="B755" s="11" t="str">
        <f>"10673342243427056398"</f>
        <v>10673342243427056398</v>
      </c>
      <c r="C755" s="11" t="s">
        <v>382</v>
      </c>
      <c r="D755" s="11" t="s">
        <v>446</v>
      </c>
      <c r="E755" s="11" t="s">
        <v>567</v>
      </c>
      <c r="F755" s="11" t="s">
        <v>568</v>
      </c>
    </row>
    <row r="756" spans="1:6" hidden="1">
      <c r="A756" s="5" t="s">
        <v>569</v>
      </c>
      <c r="B756" s="11" t="str">
        <f>"10673342243427163704"</f>
        <v>10673342243427163704</v>
      </c>
      <c r="C756" s="11" t="s">
        <v>382</v>
      </c>
      <c r="D756" s="11" t="s">
        <v>446</v>
      </c>
      <c r="E756" s="11" t="s">
        <v>569</v>
      </c>
      <c r="F756" s="11" t="s">
        <v>568</v>
      </c>
    </row>
    <row r="757" spans="1:6" hidden="1">
      <c r="A757" s="5" t="s">
        <v>570</v>
      </c>
      <c r="B757" s="11" t="str">
        <f>"10673342243427221275"</f>
        <v>10673342243427221275</v>
      </c>
      <c r="C757" s="11" t="s">
        <v>382</v>
      </c>
      <c r="D757" s="11" t="s">
        <v>446</v>
      </c>
      <c r="E757" s="11" t="s">
        <v>570</v>
      </c>
      <c r="F757" s="11" t="s">
        <v>568</v>
      </c>
    </row>
    <row r="758" spans="1:6" hidden="1">
      <c r="A758" s="5" t="s">
        <v>571</v>
      </c>
      <c r="B758" s="11" t="str">
        <f>"10673342243427324023"</f>
        <v>10673342243427324023</v>
      </c>
      <c r="C758" s="11" t="s">
        <v>382</v>
      </c>
      <c r="D758" s="11" t="s">
        <v>446</v>
      </c>
      <c r="E758" s="11" t="s">
        <v>571</v>
      </c>
      <c r="F758" s="11" t="s">
        <v>568</v>
      </c>
    </row>
    <row r="759" spans="1:6" hidden="1">
      <c r="A759" s="5" t="s">
        <v>572</v>
      </c>
      <c r="B759" s="11" t="str">
        <f>"10673342243427368187"</f>
        <v>10673342243427368187</v>
      </c>
      <c r="C759" s="11" t="s">
        <v>382</v>
      </c>
      <c r="D759" s="11" t="s">
        <v>446</v>
      </c>
      <c r="E759" s="11" t="s">
        <v>572</v>
      </c>
      <c r="F759" s="11" t="s">
        <v>573</v>
      </c>
    </row>
    <row r="760" spans="1:6" hidden="1">
      <c r="A760" s="5" t="s">
        <v>574</v>
      </c>
      <c r="B760" s="11" t="str">
        <f>"10673342243427449799"</f>
        <v>10673342243427449799</v>
      </c>
      <c r="C760" s="11" t="s">
        <v>382</v>
      </c>
      <c r="D760" s="11" t="s">
        <v>446</v>
      </c>
      <c r="E760" s="11" t="s">
        <v>574</v>
      </c>
      <c r="F760" s="11" t="s">
        <v>573</v>
      </c>
    </row>
    <row r="761" spans="1:6" hidden="1">
      <c r="A761" s="5" t="s">
        <v>575</v>
      </c>
      <c r="B761" s="11" t="str">
        <f>"10673342243428090603"</f>
        <v>10673342243428090603</v>
      </c>
      <c r="C761" s="11" t="s">
        <v>382</v>
      </c>
      <c r="D761" s="11" t="s">
        <v>446</v>
      </c>
      <c r="E761" s="11" t="s">
        <v>575</v>
      </c>
      <c r="F761" s="11" t="s">
        <v>573</v>
      </c>
    </row>
    <row r="762" spans="1:6" hidden="1">
      <c r="A762" s="5" t="s">
        <v>576</v>
      </c>
      <c r="B762" s="11" t="str">
        <f>"10673342243430914916"</f>
        <v>10673342243430914916</v>
      </c>
      <c r="C762" s="11" t="s">
        <v>382</v>
      </c>
      <c r="D762" s="11" t="s">
        <v>446</v>
      </c>
      <c r="E762" s="11" t="s">
        <v>576</v>
      </c>
      <c r="F762" s="11" t="s">
        <v>573</v>
      </c>
    </row>
    <row r="763" spans="1:6" hidden="1">
      <c r="A763" s="5" t="s">
        <v>577</v>
      </c>
      <c r="B763" s="11" t="str">
        <f>"10673342243432299287"</f>
        <v>10673342243432299287</v>
      </c>
      <c r="C763" s="11" t="s">
        <v>382</v>
      </c>
      <c r="D763" s="11" t="s">
        <v>446</v>
      </c>
      <c r="E763" s="11" t="s">
        <v>577</v>
      </c>
      <c r="F763" s="11" t="s">
        <v>578</v>
      </c>
    </row>
    <row r="764" spans="1:6" hidden="1">
      <c r="A764" s="5" t="s">
        <v>579</v>
      </c>
      <c r="B764" s="11" t="str">
        <f>"10673342243432454088"</f>
        <v>10673342243432454088</v>
      </c>
      <c r="C764" s="11" t="s">
        <v>382</v>
      </c>
      <c r="D764" s="11" t="s">
        <v>446</v>
      </c>
      <c r="E764" s="11" t="s">
        <v>579</v>
      </c>
      <c r="F764" s="11" t="s">
        <v>578</v>
      </c>
    </row>
    <row r="765" spans="1:6" hidden="1">
      <c r="A765" s="5" t="s">
        <v>580</v>
      </c>
      <c r="B765" s="11" t="str">
        <f>"10673342243432558797"</f>
        <v>10673342243432558797</v>
      </c>
      <c r="C765" s="11" t="s">
        <v>382</v>
      </c>
      <c r="D765" s="11" t="s">
        <v>446</v>
      </c>
      <c r="E765" s="11" t="s">
        <v>580</v>
      </c>
      <c r="F765" s="11" t="s">
        <v>578</v>
      </c>
    </row>
    <row r="766" spans="1:6" hidden="1">
      <c r="A766" s="5" t="s">
        <v>581</v>
      </c>
      <c r="B766" s="11" t="str">
        <f>"10673342243432884805"</f>
        <v>10673342243432884805</v>
      </c>
      <c r="C766" s="11" t="s">
        <v>382</v>
      </c>
      <c r="D766" s="11" t="s">
        <v>446</v>
      </c>
      <c r="E766" s="11" t="s">
        <v>581</v>
      </c>
      <c r="F766" s="11" t="s">
        <v>578</v>
      </c>
    </row>
  </sheetData>
  <autoFilter ref="A1:F766">
    <filterColumn colId="3">
      <filters>
        <filter val="OK: Чек найден (В заявлении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Otchet_Cheki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Logik</dc:creator>
  <cp:lastModifiedBy>Logik</cp:lastModifiedBy>
  <dcterms:modified xsi:type="dcterms:W3CDTF">2026-02-07T20:23:21Z</dcterms:modified>
</cp:coreProperties>
</file>